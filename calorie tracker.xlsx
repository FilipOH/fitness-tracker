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7"/>
  <workbookPr showInkAnnotation="0" defaultThemeVersion="202300"/>
  <xr:revisionPtr revIDLastSave="0" documentId="8_{6C576486-EB47-1841-891D-181B829F327A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Raw" sheetId="1" r:id="rId1"/>
    <sheet name="Day tracker" sheetId="2" r:id="rId2"/>
    <sheet name="Week Tracker" sheetId="4" r:id="rId3"/>
    <sheet name="Dashboard" sheetId="3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3" l="1" a="1"/>
  <c r="B1" i="3"/>
  <c r="A1" i="3" a="1"/>
  <c r="A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2" i="2"/>
  <c r="C3" i="4"/>
  <c r="D3" i="4"/>
  <c r="C4" i="4"/>
  <c r="D4" i="4"/>
  <c r="C5" i="4"/>
  <c r="D5" i="4"/>
  <c r="C6" i="4"/>
  <c r="D6" i="4"/>
  <c r="C7" i="4"/>
  <c r="D7" i="4"/>
  <c r="C8" i="4"/>
  <c r="D8" i="4"/>
  <c r="C9" i="4"/>
  <c r="D9" i="4"/>
  <c r="C10" i="4"/>
  <c r="D10" i="4"/>
  <c r="C11" i="4"/>
  <c r="D11" i="4"/>
  <c r="C12" i="4"/>
  <c r="D12" i="4"/>
  <c r="C13" i="4"/>
  <c r="D13" i="4"/>
  <c r="C14" i="4"/>
  <c r="D14" i="4"/>
  <c r="C15" i="4"/>
  <c r="D15" i="4"/>
  <c r="C16" i="4"/>
  <c r="D16" i="4"/>
  <c r="C17" i="4"/>
  <c r="D17" i="4"/>
  <c r="C2" i="4"/>
  <c r="D2" i="4"/>
  <c r="G5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<sst xmlns="http://schemas.openxmlformats.org/spreadsheetml/2006/main" count="142" uniqueCount="115">
  <si>
    <t>Day</t>
  </si>
  <si>
    <t>Item</t>
  </si>
  <si>
    <t>Calories</t>
  </si>
  <si>
    <t>Aldi low fat coffee</t>
  </si>
  <si>
    <t>Blueberry pack</t>
  </si>
  <si>
    <t>Prawn crackers 1/3 pack</t>
  </si>
  <si>
    <t>Time</t>
  </si>
  <si>
    <t>Cous cous with 3 eggs</t>
  </si>
  <si>
    <t>Total in</t>
  </si>
  <si>
    <t>Total out</t>
  </si>
  <si>
    <t>Net</t>
  </si>
  <si>
    <t>Active out</t>
  </si>
  <si>
    <t>1/2 dub choc subway cookie</t>
  </si>
  <si>
    <t xml:space="preserve">Week number </t>
  </si>
  <si>
    <t>Goal</t>
  </si>
  <si>
    <t>Total cals</t>
  </si>
  <si>
    <t>Goal Met</t>
  </si>
  <si>
    <t>Week 1</t>
  </si>
  <si>
    <t>Total net</t>
  </si>
  <si>
    <t>Weight in</t>
  </si>
  <si>
    <t>Weight time</t>
  </si>
  <si>
    <t>Aldi iced coffee</t>
  </si>
  <si>
    <t>Cous cous + 2 eggs</t>
  </si>
  <si>
    <t>Kilos lost</t>
  </si>
  <si>
    <t>Baseline cals</t>
  </si>
  <si>
    <t>1/3 pack prawn crackers</t>
  </si>
  <si>
    <t>Spar butter chicken</t>
  </si>
  <si>
    <t>Homemade spinach and potato curry</t>
  </si>
  <si>
    <t>Pizza</t>
  </si>
  <si>
    <t>Pasta packet</t>
  </si>
  <si>
    <t>Tomato Gnocchi w gbread</t>
  </si>
  <si>
    <t>Homemade spinach and potato curry w gbread</t>
  </si>
  <si>
    <t>Banana pancakes</t>
  </si>
  <si>
    <t>Jajun beans n rice</t>
  </si>
  <si>
    <t>Asda hot counter chicken</t>
  </si>
  <si>
    <t xml:space="preserve">Mango monster </t>
  </si>
  <si>
    <t>San migues pint</t>
  </si>
  <si>
    <t>Lipton iced tea</t>
  </si>
  <si>
    <t>Street food takeout + smoothie - Lytham</t>
  </si>
  <si>
    <t>Vegan homade breakfast bun (half eaten)</t>
  </si>
  <si>
    <t>Lidl soup n bread</t>
  </si>
  <si>
    <t>Week 2</t>
  </si>
  <si>
    <t>Onion soup</t>
  </si>
  <si>
    <t xml:space="preserve">Stuffed tortellini </t>
  </si>
  <si>
    <t>Chicken maggi noodles</t>
  </si>
  <si>
    <t xml:space="preserve">350ml glass orange juice </t>
  </si>
  <si>
    <t>Chili stuffed tuc biscuit</t>
  </si>
  <si>
    <t xml:space="preserve">Ratatouille </t>
  </si>
  <si>
    <t>Garlic bread</t>
  </si>
  <si>
    <t xml:space="preserve">350ml orange juice </t>
  </si>
  <si>
    <t>Apple and mango</t>
  </si>
  <si>
    <t>Maggi chick nood</t>
  </si>
  <si>
    <t xml:space="preserve">Ratatouille + cheese </t>
  </si>
  <si>
    <t>Sticky toffee pud with cream</t>
  </si>
  <si>
    <t>Singl rum n coke</t>
  </si>
  <si>
    <t>Tea 1sugar</t>
  </si>
  <si>
    <t>M&amp;s orange juice</t>
  </si>
  <si>
    <t>M&amp;s crisps</t>
  </si>
  <si>
    <t>M&amp;S sandwich</t>
  </si>
  <si>
    <t>Mango Monster</t>
  </si>
  <si>
    <t>Papa johns (small pizza + 2 dips)</t>
  </si>
  <si>
    <t>N/A</t>
  </si>
  <si>
    <t>Hotel breakfast</t>
  </si>
  <si>
    <t>Vegan curry meal out - rough estimate</t>
  </si>
  <si>
    <t>Sausage roll</t>
  </si>
  <si>
    <t>Hotel breakkie (menu calories)</t>
  </si>
  <si>
    <t>Smoothie</t>
  </si>
  <si>
    <t>Museum cafee cake and matcha</t>
  </si>
  <si>
    <t>Hotel dinner</t>
  </si>
  <si>
    <t>Corona pint</t>
  </si>
  <si>
    <t xml:space="preserve">Camden pale ale </t>
  </si>
  <si>
    <t>Hotel desert</t>
  </si>
  <si>
    <t>Neck oil pint</t>
  </si>
  <si>
    <t>Madri can</t>
  </si>
  <si>
    <t>Etheopian place (soup and smoothie)</t>
  </si>
  <si>
    <t>Ukranian place (potato panoaces, snickers cake and lemonade</t>
  </si>
  <si>
    <t>Papa johns (medium full house pizza + cheese and bacon tater tots + 3 small tubs of special garlic sauce)</t>
  </si>
  <si>
    <t>Week 3</t>
  </si>
  <si>
    <t>Chai latte</t>
  </si>
  <si>
    <t>Tea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</si>
  <si>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</si>
  <si>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</si>
  <si>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</si>
  <si>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</si>
  <si>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</si>
  <si>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</si>
  <si>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</si>
  <si>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</si>
  <si>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</si>
  <si>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</si>
  <si>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</si>
  <si>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</si>
  <si>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</si>
  <si>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Soup with garlic bread</t>
  </si>
  <si>
    <t>1/2 mellon</t>
  </si>
  <si>
    <t>Risotto</t>
  </si>
  <si>
    <t>Tortellini with tomato sauce</t>
  </si>
  <si>
    <t>Thai green curry homemade</t>
  </si>
  <si>
    <t>Popcorn</t>
  </si>
  <si>
    <t>1 jaffa cake</t>
  </si>
  <si>
    <t>1/2 garlic baguette</t>
  </si>
  <si>
    <t>Soup with buttered bread</t>
  </si>
  <si>
    <t>Donut</t>
  </si>
  <si>
    <t>Vegan coffee cake</t>
  </si>
  <si>
    <t>Homemade tomato gnocchi</t>
  </si>
  <si>
    <t>Homemade tacos</t>
  </si>
  <si>
    <t>Chocolate n creame donut</t>
  </si>
  <si>
    <t>Fatty garlic fried basa</t>
  </si>
  <si>
    <t>Hash brown sandwich</t>
  </si>
  <si>
    <t>Festival van mac n cheese with pulled pork</t>
  </si>
  <si>
    <t xml:space="preserve">Take out churos </t>
  </si>
  <si>
    <t>Rubarb cider</t>
  </si>
  <si>
    <t>Chili heatwave with dip</t>
  </si>
  <si>
    <t>Mushroom risotto</t>
  </si>
  <si>
    <t xml:space="preserve">Protein coffee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</si>
</sst>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164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Weight 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numRef>
              <c:f>Dashboard!$A$2:$A$126</c:f>
              <c:numCache>
                <c:formatCode>m/d/yy</c:formatCode>
                <c:ptCount val="125"/>
                <c:pt idx="0">
                  <c:v>46202</c:v>
                </c:pt>
                <c:pt idx="1">
                  <c:v>46203</c:v>
                </c:pt>
                <c:pt idx="2">
                  <c:v>46204</c:v>
                </c:pt>
                <c:pt idx="3">
                  <c:v>46205</c:v>
                </c:pt>
                <c:pt idx="4">
                  <c:v>46206</c:v>
                </c:pt>
                <c:pt idx="5">
                  <c:v>46207</c:v>
                </c:pt>
                <c:pt idx="6">
                  <c:v>46208</c:v>
                </c:pt>
                <c:pt idx="7">
                  <c:v>46209</c:v>
                </c:pt>
                <c:pt idx="8">
                  <c:v>46210</c:v>
                </c:pt>
                <c:pt idx="9">
                  <c:v>46211</c:v>
                </c:pt>
                <c:pt idx="10">
                  <c:v>46212</c:v>
                </c:pt>
                <c:pt idx="11">
                  <c:v>46213</c:v>
                </c:pt>
                <c:pt idx="12">
                  <c:v>46214</c:v>
                </c:pt>
                <c:pt idx="13">
                  <c:v>46215</c:v>
                </c:pt>
                <c:pt idx="14">
                  <c:v>46216</c:v>
                </c:pt>
                <c:pt idx="15">
                  <c:v>46217</c:v>
                </c:pt>
                <c:pt idx="16">
                  <c:v>46218</c:v>
                </c:pt>
                <c:pt idx="17">
                  <c:v>46219</c:v>
                </c:pt>
                <c:pt idx="18">
                  <c:v>46220</c:v>
                </c:pt>
                <c:pt idx="19">
                  <c:v>46221</c:v>
                </c:pt>
                <c:pt idx="20">
                  <c:v>46222</c:v>
                </c:pt>
                <c:pt idx="21">
                  <c:v>46223</c:v>
                </c:pt>
                <c:pt idx="22">
                  <c:v>46224</c:v>
                </c:pt>
                <c:pt idx="23">
                  <c:v>46225</c:v>
                </c:pt>
                <c:pt idx="24">
                  <c:v>46226</c:v>
                </c:pt>
                <c:pt idx="25">
                  <c:v>46227</c:v>
                </c:pt>
                <c:pt idx="26">
                  <c:v>46228</c:v>
                </c:pt>
                <c:pt idx="27">
                  <c:v>46229</c:v>
                </c:pt>
                <c:pt idx="28">
                  <c:v>46230</c:v>
                </c:pt>
                <c:pt idx="29">
                  <c:v>46231</c:v>
                </c:pt>
                <c:pt idx="30">
                  <c:v>46232</c:v>
                </c:pt>
                <c:pt idx="31">
                  <c:v>46233</c:v>
                </c:pt>
                <c:pt idx="32">
                  <c:v>46234</c:v>
                </c:pt>
                <c:pt idx="33">
                  <c:v>46235</c:v>
                </c:pt>
                <c:pt idx="34">
                  <c:v>46236</c:v>
                </c:pt>
                <c:pt idx="35">
                  <c:v>46237</c:v>
                </c:pt>
                <c:pt idx="36">
                  <c:v>46238</c:v>
                </c:pt>
                <c:pt idx="37">
                  <c:v>46239</c:v>
                </c:pt>
                <c:pt idx="38">
                  <c:v>46240</c:v>
                </c:pt>
                <c:pt idx="39">
                  <c:v>46241</c:v>
                </c:pt>
                <c:pt idx="40">
                  <c:v>46242</c:v>
                </c:pt>
                <c:pt idx="41">
                  <c:v>46243</c:v>
                </c:pt>
                <c:pt idx="42">
                  <c:v>46244</c:v>
                </c:pt>
                <c:pt idx="43">
                  <c:v>46245</c:v>
                </c:pt>
                <c:pt idx="44">
                  <c:v>46246</c:v>
                </c:pt>
                <c:pt idx="45">
                  <c:v>46247</c:v>
                </c:pt>
                <c:pt idx="46">
                  <c:v>46248</c:v>
                </c:pt>
                <c:pt idx="47">
                  <c:v>46249</c:v>
                </c:pt>
                <c:pt idx="48">
                  <c:v>46250</c:v>
                </c:pt>
                <c:pt idx="49">
                  <c:v>46251</c:v>
                </c:pt>
                <c:pt idx="50">
                  <c:v>46252</c:v>
                </c:pt>
                <c:pt idx="51">
                  <c:v>46253</c:v>
                </c:pt>
                <c:pt idx="52">
                  <c:v>46254</c:v>
                </c:pt>
                <c:pt idx="53">
                  <c:v>46255</c:v>
                </c:pt>
                <c:pt idx="54">
                  <c:v>46256</c:v>
                </c:pt>
                <c:pt idx="55">
                  <c:v>46257</c:v>
                </c:pt>
                <c:pt idx="56">
                  <c:v>46258</c:v>
                </c:pt>
                <c:pt idx="57">
                  <c:v>46259</c:v>
                </c:pt>
                <c:pt idx="58">
                  <c:v>46260</c:v>
                </c:pt>
                <c:pt idx="59">
                  <c:v>46261</c:v>
                </c:pt>
                <c:pt idx="60">
                  <c:v>46262</c:v>
                </c:pt>
                <c:pt idx="61">
                  <c:v>46263</c:v>
                </c:pt>
                <c:pt idx="62">
                  <c:v>46264</c:v>
                </c:pt>
                <c:pt idx="63">
                  <c:v>46265</c:v>
                </c:pt>
                <c:pt idx="64">
                  <c:v>46266</c:v>
                </c:pt>
                <c:pt idx="65">
                  <c:v>46267</c:v>
                </c:pt>
                <c:pt idx="66">
                  <c:v>46268</c:v>
                </c:pt>
                <c:pt idx="67">
                  <c:v>46269</c:v>
                </c:pt>
                <c:pt idx="68">
                  <c:v>46270</c:v>
                </c:pt>
                <c:pt idx="69">
                  <c:v>46271</c:v>
                </c:pt>
                <c:pt idx="70">
                  <c:v>46272</c:v>
                </c:pt>
                <c:pt idx="71">
                  <c:v>46273</c:v>
                </c:pt>
                <c:pt idx="72">
                  <c:v>46274</c:v>
                </c:pt>
                <c:pt idx="73">
                  <c:v>46275</c:v>
                </c:pt>
                <c:pt idx="74">
                  <c:v>46276</c:v>
                </c:pt>
                <c:pt idx="75">
                  <c:v>46277</c:v>
                </c:pt>
                <c:pt idx="76">
                  <c:v>46278</c:v>
                </c:pt>
                <c:pt idx="77">
                  <c:v>46279</c:v>
                </c:pt>
                <c:pt idx="78">
                  <c:v>46280</c:v>
                </c:pt>
                <c:pt idx="79">
                  <c:v>46281</c:v>
                </c:pt>
                <c:pt idx="80">
                  <c:v>46282</c:v>
                </c:pt>
                <c:pt idx="81">
                  <c:v>46283</c:v>
                </c:pt>
                <c:pt idx="82">
                  <c:v>46284</c:v>
                </c:pt>
                <c:pt idx="83">
                  <c:v>46285</c:v>
                </c:pt>
                <c:pt idx="84">
                  <c:v>46286</c:v>
                </c:pt>
                <c:pt idx="85">
                  <c:v>46287</c:v>
                </c:pt>
                <c:pt idx="86">
                  <c:v>46288</c:v>
                </c:pt>
                <c:pt idx="87">
                  <c:v>46289</c:v>
                </c:pt>
                <c:pt idx="88">
                  <c:v>46290</c:v>
                </c:pt>
                <c:pt idx="89">
                  <c:v>46291</c:v>
                </c:pt>
                <c:pt idx="90">
                  <c:v>46292</c:v>
                </c:pt>
                <c:pt idx="91">
                  <c:v>46293</c:v>
                </c:pt>
                <c:pt idx="92">
                  <c:v>46294</c:v>
                </c:pt>
                <c:pt idx="93">
                  <c:v>46295</c:v>
                </c:pt>
                <c:pt idx="94">
                  <c:v>46296</c:v>
                </c:pt>
                <c:pt idx="95">
                  <c:v>46297</c:v>
                </c:pt>
                <c:pt idx="96">
                  <c:v>46298</c:v>
                </c:pt>
                <c:pt idx="97">
                  <c:v>46299</c:v>
                </c:pt>
                <c:pt idx="98">
                  <c:v>46300</c:v>
                </c:pt>
                <c:pt idx="99">
                  <c:v>46301</c:v>
                </c:pt>
                <c:pt idx="100">
                  <c:v>46302</c:v>
                </c:pt>
                <c:pt idx="101">
                  <c:v>46303</c:v>
                </c:pt>
                <c:pt idx="102">
                  <c:v>46304</c:v>
                </c:pt>
                <c:pt idx="103">
                  <c:v>46305</c:v>
                </c:pt>
                <c:pt idx="104">
                  <c:v>46306</c:v>
                </c:pt>
                <c:pt idx="105">
                  <c:v>46307</c:v>
                </c:pt>
                <c:pt idx="106">
                  <c:v>46308</c:v>
                </c:pt>
                <c:pt idx="107">
                  <c:v>46309</c:v>
                </c:pt>
                <c:pt idx="108">
                  <c:v>46310</c:v>
                </c:pt>
                <c:pt idx="109">
                  <c:v>46311</c:v>
                </c:pt>
                <c:pt idx="110">
                  <c:v>46312</c:v>
                </c:pt>
                <c:pt idx="111">
                  <c:v>46313</c:v>
                </c:pt>
                <c:pt idx="112">
                  <c:v>46314</c:v>
                </c:pt>
                <c:pt idx="113">
                  <c:v>46315</c:v>
                </c:pt>
                <c:pt idx="114">
                  <c:v>46316</c:v>
                </c:pt>
                <c:pt idx="115">
                  <c:v>46317</c:v>
                </c:pt>
                <c:pt idx="116">
                  <c:v>46318</c:v>
                </c:pt>
                <c:pt idx="117">
                  <c:v>46319</c:v>
                </c:pt>
                <c:pt idx="118">
                  <c:v>46320</c:v>
                </c:pt>
                <c:pt idx="119">
                  <c:v>46321</c:v>
                </c:pt>
                <c:pt idx="120">
                  <c:v>46322</c:v>
                </c:pt>
                <c:pt idx="121">
                  <c:v>46323</c:v>
                </c:pt>
                <c:pt idx="122">
                  <c:v>46324</c:v>
                </c:pt>
                <c:pt idx="123">
                  <c:v>46325</c:v>
                </c:pt>
                <c:pt idx="124">
                  <c:v>46326</c:v>
                </c:pt>
              </c:numCache>
            </c:numRef>
          </c:cat>
          <c:val>
            <c:numRef>
              <c:f>Dashboard!$B$2:$B$126</c:f>
              <c:numCache>
                <c:formatCode>General</c:formatCode>
                <c:ptCount val="125"/>
                <c:pt idx="0">
                  <c:v>75.900000000000006</c:v>
                </c:pt>
                <c:pt idx="1">
                  <c:v>75.400000000000006</c:v>
                </c:pt>
                <c:pt idx="2">
                  <c:v>75.400000000000006</c:v>
                </c:pt>
                <c:pt idx="3">
                  <c:v>75.8</c:v>
                </c:pt>
                <c:pt idx="4">
                  <c:v>75.8</c:v>
                </c:pt>
                <c:pt idx="5">
                  <c:v>75.599999999999994</c:v>
                </c:pt>
                <c:pt idx="6">
                  <c:v>75.900000000000006</c:v>
                </c:pt>
                <c:pt idx="7">
                  <c:v>75.2</c:v>
                </c:pt>
                <c:pt idx="8">
                  <c:v>74.7</c:v>
                </c:pt>
                <c:pt idx="9">
                  <c:v>73.7</c:v>
                </c:pt>
                <c:pt idx="10">
                  <c:v>74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77.3</c:v>
                </c:pt>
                <c:pt idx="16">
                  <c:v>76</c:v>
                </c:pt>
                <c:pt idx="17">
                  <c:v>74.400000000000006</c:v>
                </c:pt>
                <c:pt idx="18">
                  <c:v>73.599999999999994</c:v>
                </c:pt>
                <c:pt idx="19">
                  <c:v>74.599999999999994</c:v>
                </c:pt>
                <c:pt idx="20">
                  <c:v>73.900000000000006</c:v>
                </c:pt>
                <c:pt idx="21">
                  <c:v>73.7</c:v>
                </c:pt>
                <c:pt idx="22">
                  <c:v>73.099999999999994</c:v>
                </c:pt>
                <c:pt idx="23">
                  <c:v>71.5</c:v>
                </c:pt>
                <c:pt idx="24">
                  <c:v>72.900000000000006</c:v>
                </c:pt>
                <c:pt idx="25">
                  <c:v>72.400000000000006</c:v>
                </c:pt>
                <c:pt idx="26">
                  <c:v>73.3</c:v>
                </c:pt>
                <c:pt idx="27">
                  <c:v>73.5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5F-C647-A45A-7848CE2DD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1173361472"/>
        <c:axId val="1173363264"/>
      </c:lineChart>
      <c:dateAx>
        <c:axId val="117336147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363264"/>
        <c:crosses val="autoZero"/>
        <c:auto val="1"/>
        <c:lblOffset val="100"/>
        <c:baseTimeUnit val="days"/>
      </c:dateAx>
      <c:valAx>
        <c:axId val="117336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36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63500</xdr:rowOff>
    </xdr:from>
    <xdr:to>
      <xdr:col>7</xdr:col>
      <xdr:colOff>410633</xdr:colOff>
      <xdr:row>11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54098E-F0D8-73C0-9A88-357BD8065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47C88-221B-B94C-8466-BC2BA0D6B2EB}">
  <dimension ref="A1:D101"/>
  <sheetViews>
    <sheetView topLeftCell="A82" zoomScaleNormal="100" zoomScaleSheetLayoutView="100" workbookViewId="0">
      <selection activeCell="D102" sqref="D102"/>
    </sheetView>
  </sheetViews>
  <sheetFormatPr defaultRowHeight="15" x14ac:dyDescent="0.2"/>
  <cols>
    <col min="1" max="1" width="10.4921875" bestFit="1" customWidth="1"/>
    <col min="2" max="2" width="15.19921875" bestFit="1" customWidth="1"/>
    <col min="7" max="7" width="11.7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6</v>
      </c>
    </row>
    <row r="2" spans="1:4" x14ac:dyDescent="0.2">
      <c r="A2" s="1">
        <v>46202</v>
      </c>
      <c r="B2" t="s">
        <v>3</v>
      </c>
      <c r="C2">
        <v>140</v>
      </c>
      <c r="D2" s="2">
        <v>0.52083333333333337</v>
      </c>
    </row>
    <row r="3" spans="1:4" x14ac:dyDescent="0.2">
      <c r="A3" s="1">
        <v>46202</v>
      </c>
      <c r="B3" t="s">
        <v>4</v>
      </c>
      <c r="C3">
        <v>250</v>
      </c>
      <c r="D3" s="2">
        <v>0.52083333333333337</v>
      </c>
    </row>
    <row r="4" spans="1:4" x14ac:dyDescent="0.2">
      <c r="A4" s="1">
        <v>46202</v>
      </c>
      <c r="B4" t="s">
        <v>5</v>
      </c>
      <c r="C4">
        <v>175</v>
      </c>
      <c r="D4" s="2">
        <v>0.71875</v>
      </c>
    </row>
    <row r="5" spans="1:4" x14ac:dyDescent="0.2">
      <c r="A5" s="1">
        <v>46202</v>
      </c>
      <c r="B5" t="s">
        <v>7</v>
      </c>
      <c r="C5">
        <v>549</v>
      </c>
      <c r="D5" s="2">
        <v>0.90625</v>
      </c>
    </row>
    <row r="6" spans="1:4" x14ac:dyDescent="0.2">
      <c r="A6" s="1">
        <v>46202</v>
      </c>
      <c r="B6" t="s">
        <v>12</v>
      </c>
      <c r="C6">
        <v>110</v>
      </c>
      <c r="D6" s="2">
        <v>0.97152777777777777</v>
      </c>
    </row>
    <row r="7" spans="1:4" x14ac:dyDescent="0.2">
      <c r="A7" s="1">
        <v>46203</v>
      </c>
      <c r="B7" t="s">
        <v>21</v>
      </c>
      <c r="C7">
        <v>125</v>
      </c>
      <c r="D7" s="2">
        <v>0.4826388888888889</v>
      </c>
    </row>
    <row r="8" spans="1:4" x14ac:dyDescent="0.2">
      <c r="A8" s="1">
        <v>46203</v>
      </c>
      <c r="B8" t="s">
        <v>22</v>
      </c>
      <c r="C8">
        <v>484</v>
      </c>
      <c r="D8" s="2">
        <v>0.57152777777777775</v>
      </c>
    </row>
    <row r="9" spans="1:4" x14ac:dyDescent="0.2">
      <c r="A9" s="1">
        <v>46203</v>
      </c>
      <c r="B9" t="s">
        <v>31</v>
      </c>
      <c r="C9">
        <v>907</v>
      </c>
      <c r="D9" s="2">
        <v>0.78125</v>
      </c>
    </row>
    <row r="10" spans="1:4" x14ac:dyDescent="0.2">
      <c r="A10" s="1">
        <v>46203</v>
      </c>
      <c r="B10" t="s">
        <v>25</v>
      </c>
      <c r="C10">
        <v>175</v>
      </c>
      <c r="D10" s="2">
        <v>0.9291666666666667</v>
      </c>
    </row>
    <row r="11" spans="1:4" x14ac:dyDescent="0.2">
      <c r="A11" s="1">
        <v>46204</v>
      </c>
      <c r="B11" t="s">
        <v>26</v>
      </c>
      <c r="C11">
        <v>1210</v>
      </c>
      <c r="D11" s="2">
        <v>0.52083333333333337</v>
      </c>
    </row>
    <row r="12" spans="1:4" x14ac:dyDescent="0.2">
      <c r="A12" s="1">
        <v>46204</v>
      </c>
      <c r="B12" t="s">
        <v>27</v>
      </c>
      <c r="C12">
        <v>629</v>
      </c>
      <c r="D12" s="2">
        <v>0.84027777777777779</v>
      </c>
    </row>
    <row r="13" spans="1:4" x14ac:dyDescent="0.2">
      <c r="A13" s="1">
        <v>46205</v>
      </c>
      <c r="B13" t="s">
        <v>28</v>
      </c>
      <c r="C13">
        <v>1709</v>
      </c>
      <c r="D13" s="2">
        <v>0.93055555555555558</v>
      </c>
    </row>
    <row r="14" spans="1:4" x14ac:dyDescent="0.2">
      <c r="A14" s="1">
        <v>46206</v>
      </c>
      <c r="B14" t="s">
        <v>21</v>
      </c>
      <c r="C14">
        <v>125</v>
      </c>
      <c r="D14" s="2">
        <v>0.49305555555555558</v>
      </c>
    </row>
    <row r="15" spans="1:4" x14ac:dyDescent="0.2">
      <c r="A15" s="1">
        <v>46206</v>
      </c>
      <c r="B15" t="s">
        <v>29</v>
      </c>
      <c r="C15">
        <v>448</v>
      </c>
      <c r="D15" s="2">
        <v>0.59027777777777779</v>
      </c>
    </row>
    <row r="16" spans="1:4" x14ac:dyDescent="0.2">
      <c r="A16" s="1">
        <v>46206</v>
      </c>
      <c r="B16" t="s">
        <v>30</v>
      </c>
      <c r="C16">
        <v>936</v>
      </c>
      <c r="D16" s="2">
        <v>0.77083333333333337</v>
      </c>
    </row>
    <row r="17" spans="1:4" x14ac:dyDescent="0.2">
      <c r="A17" s="1">
        <v>46207</v>
      </c>
      <c r="B17" t="s">
        <v>32</v>
      </c>
      <c r="C17">
        <v>1125</v>
      </c>
      <c r="D17" s="2">
        <v>0.45833333333333331</v>
      </c>
    </row>
    <row r="18" spans="1:4" x14ac:dyDescent="0.2">
      <c r="A18" s="1">
        <v>46207</v>
      </c>
      <c r="B18" t="s">
        <v>33</v>
      </c>
      <c r="C18">
        <v>695</v>
      </c>
      <c r="D18" s="2">
        <v>0.85416666666666663</v>
      </c>
    </row>
    <row r="19" spans="1:4" x14ac:dyDescent="0.2">
      <c r="A19" s="1">
        <v>46208</v>
      </c>
      <c r="B19" t="s">
        <v>34</v>
      </c>
      <c r="C19">
        <v>896</v>
      </c>
      <c r="D19" s="2">
        <v>0.52083333333333337</v>
      </c>
    </row>
    <row r="20" spans="1:4" x14ac:dyDescent="0.2">
      <c r="A20" s="1">
        <v>46208</v>
      </c>
      <c r="B20" t="s">
        <v>35</v>
      </c>
      <c r="C20">
        <v>239</v>
      </c>
      <c r="D20" s="2">
        <v>0.64583333333333337</v>
      </c>
    </row>
    <row r="21" spans="1:4" x14ac:dyDescent="0.2">
      <c r="A21" s="1">
        <v>46208</v>
      </c>
      <c r="B21" t="s">
        <v>38</v>
      </c>
      <c r="C21">
        <v>1000</v>
      </c>
      <c r="D21" s="2">
        <v>0.68055555555555558</v>
      </c>
    </row>
    <row r="22" spans="1:4" x14ac:dyDescent="0.2">
      <c r="A22" s="1">
        <v>46208</v>
      </c>
      <c r="B22" t="s">
        <v>36</v>
      </c>
      <c r="C22">
        <v>256</v>
      </c>
      <c r="D22" s="2">
        <v>0.71875</v>
      </c>
    </row>
    <row r="23" spans="1:4" x14ac:dyDescent="0.2">
      <c r="A23" s="1">
        <v>46209</v>
      </c>
      <c r="B23" t="s">
        <v>37</v>
      </c>
      <c r="C23">
        <v>26</v>
      </c>
      <c r="D23" s="2">
        <v>0.47916666666666669</v>
      </c>
    </row>
    <row r="24" spans="1:4" x14ac:dyDescent="0.2">
      <c r="A24" s="1">
        <v>46209</v>
      </c>
      <c r="B24" t="s">
        <v>39</v>
      </c>
      <c r="C24">
        <v>430</v>
      </c>
      <c r="D24" s="2">
        <v>0.47916666666666669</v>
      </c>
    </row>
    <row r="25" spans="1:4" x14ac:dyDescent="0.2">
      <c r="A25" s="1">
        <v>46209</v>
      </c>
      <c r="B25" t="s">
        <v>40</v>
      </c>
      <c r="C25">
        <v>867</v>
      </c>
      <c r="D25" s="2">
        <v>0.78125</v>
      </c>
    </row>
    <row r="26" spans="1:4" x14ac:dyDescent="0.2">
      <c r="A26" s="1">
        <v>46210</v>
      </c>
      <c r="B26" t="s">
        <v>42</v>
      </c>
      <c r="C26">
        <v>125</v>
      </c>
      <c r="D26" s="2">
        <v>0.54513888888888884</v>
      </c>
    </row>
    <row r="27" spans="1:4" x14ac:dyDescent="0.2">
      <c r="A27" s="1">
        <v>46210</v>
      </c>
      <c r="B27" t="s">
        <v>43</v>
      </c>
      <c r="C27">
        <v>764</v>
      </c>
      <c r="D27" s="2">
        <v>0.76041666666666663</v>
      </c>
    </row>
    <row r="28" spans="1:4" x14ac:dyDescent="0.2">
      <c r="A28" s="1">
        <v>46211</v>
      </c>
      <c r="B28" t="s">
        <v>44</v>
      </c>
      <c r="C28">
        <v>536</v>
      </c>
      <c r="D28" s="2">
        <v>0.54166666666666663</v>
      </c>
    </row>
    <row r="29" spans="1:4" x14ac:dyDescent="0.2">
      <c r="A29" s="1">
        <v>46211</v>
      </c>
      <c r="B29" t="s">
        <v>45</v>
      </c>
      <c r="C29">
        <v>147</v>
      </c>
      <c r="D29" s="2">
        <v>0.63541666666666663</v>
      </c>
    </row>
    <row r="30" spans="1:4" x14ac:dyDescent="0.2">
      <c r="A30" s="1">
        <v>46211</v>
      </c>
      <c r="B30" t="s">
        <v>46</v>
      </c>
      <c r="C30">
        <v>71</v>
      </c>
      <c r="D30" s="2">
        <v>0.4861111111111111</v>
      </c>
    </row>
    <row r="31" spans="1:4" x14ac:dyDescent="0.2">
      <c r="A31" s="1">
        <v>46211</v>
      </c>
      <c r="B31" t="s">
        <v>47</v>
      </c>
      <c r="C31">
        <v>686</v>
      </c>
      <c r="D31" s="2">
        <v>0.77083333333333337</v>
      </c>
    </row>
    <row r="32" spans="1:4" x14ac:dyDescent="0.2">
      <c r="A32" s="1">
        <v>46211</v>
      </c>
      <c r="B32" t="s">
        <v>48</v>
      </c>
      <c r="C32">
        <v>250</v>
      </c>
      <c r="D32" s="2">
        <v>0.77083333333333337</v>
      </c>
    </row>
    <row r="33" spans="1:4" x14ac:dyDescent="0.2">
      <c r="A33" s="1">
        <v>46211</v>
      </c>
      <c r="B33" t="s">
        <v>49</v>
      </c>
      <c r="C33">
        <v>147</v>
      </c>
      <c r="D33" s="2">
        <v>0.79166666666666663</v>
      </c>
    </row>
    <row r="34" spans="1:4" x14ac:dyDescent="0.2">
      <c r="A34" s="1">
        <v>46211</v>
      </c>
      <c r="B34" t="s">
        <v>50</v>
      </c>
      <c r="C34">
        <v>123</v>
      </c>
      <c r="D34" s="2">
        <v>0.90555555555555556</v>
      </c>
    </row>
    <row r="35" spans="1:4" x14ac:dyDescent="0.2">
      <c r="A35" s="1">
        <v>46212</v>
      </c>
      <c r="B35" t="s">
        <v>51</v>
      </c>
      <c r="C35">
        <v>268</v>
      </c>
      <c r="D35" s="2">
        <v>0.54166666666666663</v>
      </c>
    </row>
    <row r="36" spans="1:4" x14ac:dyDescent="0.2">
      <c r="A36" s="1">
        <v>46212</v>
      </c>
      <c r="B36" t="s">
        <v>52</v>
      </c>
      <c r="C36">
        <v>786</v>
      </c>
      <c r="D36" s="2">
        <v>0.77083333333333337</v>
      </c>
    </row>
    <row r="37" spans="1:4" x14ac:dyDescent="0.2">
      <c r="A37" s="1">
        <v>46212</v>
      </c>
      <c r="B37" t="s">
        <v>48</v>
      </c>
      <c r="C37">
        <v>250</v>
      </c>
      <c r="D37" s="2">
        <v>0.77083333333333337</v>
      </c>
    </row>
    <row r="38" spans="1:4" x14ac:dyDescent="0.2">
      <c r="A38" s="1">
        <v>46212</v>
      </c>
      <c r="B38" t="s">
        <v>53</v>
      </c>
      <c r="C38">
        <v>800</v>
      </c>
      <c r="D38" s="2">
        <v>0.8125</v>
      </c>
    </row>
    <row r="39" spans="1:4" x14ac:dyDescent="0.2">
      <c r="A39" s="1">
        <v>46212</v>
      </c>
      <c r="B39" t="s">
        <v>54</v>
      </c>
      <c r="C39">
        <v>65</v>
      </c>
      <c r="D39" s="2">
        <v>0.79513888888888884</v>
      </c>
    </row>
    <row r="40" spans="1:4" x14ac:dyDescent="0.2">
      <c r="A40" s="1">
        <v>46213</v>
      </c>
      <c r="B40" t="s">
        <v>55</v>
      </c>
      <c r="C40">
        <v>40</v>
      </c>
      <c r="D40" s="2">
        <v>0.3888888888888889</v>
      </c>
    </row>
    <row r="41" spans="1:4" x14ac:dyDescent="0.2">
      <c r="A41" s="1">
        <v>46213</v>
      </c>
      <c r="B41" t="s">
        <v>56</v>
      </c>
      <c r="C41">
        <v>133</v>
      </c>
      <c r="D41" s="2">
        <v>0.47569444444444442</v>
      </c>
    </row>
    <row r="42" spans="1:4" x14ac:dyDescent="0.2">
      <c r="A42" s="1">
        <v>46213</v>
      </c>
      <c r="B42" t="s">
        <v>57</v>
      </c>
      <c r="C42">
        <v>198</v>
      </c>
      <c r="D42" s="2">
        <v>0.48958333333333331</v>
      </c>
    </row>
    <row r="43" spans="1:4" x14ac:dyDescent="0.2">
      <c r="A43" s="1">
        <v>46213</v>
      </c>
      <c r="B43" t="s">
        <v>58</v>
      </c>
      <c r="C43">
        <v>598</v>
      </c>
      <c r="D43" s="2">
        <v>0.62152777777777779</v>
      </c>
    </row>
    <row r="44" spans="1:4" x14ac:dyDescent="0.2">
      <c r="A44" s="1">
        <v>46213</v>
      </c>
      <c r="B44" t="s">
        <v>59</v>
      </c>
      <c r="C44">
        <v>239</v>
      </c>
      <c r="D44" s="2">
        <v>0.63194444444444442</v>
      </c>
    </row>
    <row r="45" spans="1:4" x14ac:dyDescent="0.2">
      <c r="A45" s="1">
        <v>46214</v>
      </c>
      <c r="B45" t="s">
        <v>60</v>
      </c>
      <c r="C45">
        <v>1650</v>
      </c>
      <c r="D45" s="2">
        <v>6.25E-2</v>
      </c>
    </row>
    <row r="46" spans="1:4" x14ac:dyDescent="0.2">
      <c r="A46" s="1">
        <v>46214</v>
      </c>
      <c r="B46" t="s">
        <v>62</v>
      </c>
      <c r="C46">
        <v>650</v>
      </c>
      <c r="D46" s="2">
        <v>0.42708333333333331</v>
      </c>
    </row>
    <row r="47" spans="1:4" x14ac:dyDescent="0.2">
      <c r="A47" s="1">
        <v>46214</v>
      </c>
      <c r="B47" t="s">
        <v>64</v>
      </c>
      <c r="C47">
        <v>378</v>
      </c>
      <c r="D47" s="2">
        <v>0.58333333333333337</v>
      </c>
    </row>
    <row r="48" spans="1:4" x14ac:dyDescent="0.2">
      <c r="A48" s="1">
        <v>46214</v>
      </c>
      <c r="B48" t="s">
        <v>63</v>
      </c>
      <c r="C48">
        <v>1600</v>
      </c>
      <c r="D48" s="2">
        <v>0.83333333333333337</v>
      </c>
    </row>
    <row r="49" spans="1:4" x14ac:dyDescent="0.2">
      <c r="A49" s="1">
        <v>46215</v>
      </c>
      <c r="B49" t="s">
        <v>65</v>
      </c>
      <c r="C49">
        <v>1050</v>
      </c>
      <c r="D49" s="2">
        <v>0.41666666666666669</v>
      </c>
    </row>
    <row r="50" spans="1:4" x14ac:dyDescent="0.2">
      <c r="A50" s="1">
        <v>46215</v>
      </c>
      <c r="B50" t="s">
        <v>66</v>
      </c>
      <c r="C50">
        <v>250</v>
      </c>
      <c r="D50" s="2">
        <v>0.5</v>
      </c>
    </row>
    <row r="51" spans="1:4" x14ac:dyDescent="0.2">
      <c r="A51" s="1">
        <v>46215</v>
      </c>
      <c r="B51" t="s">
        <v>67</v>
      </c>
      <c r="C51">
        <v>500</v>
      </c>
      <c r="D51" s="2">
        <v>0.64583333333333337</v>
      </c>
    </row>
    <row r="52" spans="1:4" x14ac:dyDescent="0.2">
      <c r="A52" s="1">
        <v>46215</v>
      </c>
      <c r="B52" t="s">
        <v>68</v>
      </c>
      <c r="C52">
        <v>1450</v>
      </c>
      <c r="D52" s="2">
        <v>0.875</v>
      </c>
    </row>
    <row r="53" spans="1:4" x14ac:dyDescent="0.2">
      <c r="A53" s="1">
        <v>46215</v>
      </c>
      <c r="B53" t="s">
        <v>69</v>
      </c>
      <c r="C53">
        <v>232</v>
      </c>
      <c r="D53" s="2">
        <v>0.83333333333333337</v>
      </c>
    </row>
    <row r="54" spans="1:4" x14ac:dyDescent="0.2">
      <c r="A54" s="1">
        <v>46215</v>
      </c>
      <c r="B54" t="s">
        <v>70</v>
      </c>
      <c r="C54">
        <v>210</v>
      </c>
      <c r="D54" s="2">
        <v>0.85416666666666663</v>
      </c>
    </row>
    <row r="55" spans="1:4" x14ac:dyDescent="0.2">
      <c r="A55" s="1">
        <v>46215</v>
      </c>
      <c r="B55" t="s">
        <v>71</v>
      </c>
      <c r="C55">
        <v>401</v>
      </c>
      <c r="D55" s="2">
        <v>0.90277777777777779</v>
      </c>
    </row>
    <row r="56" spans="1:4" x14ac:dyDescent="0.2">
      <c r="A56" s="1">
        <v>46216</v>
      </c>
      <c r="B56" t="s">
        <v>62</v>
      </c>
      <c r="C56">
        <v>800</v>
      </c>
      <c r="D56" s="2">
        <v>0.35416666666666669</v>
      </c>
    </row>
    <row r="57" spans="1:4" x14ac:dyDescent="0.2">
      <c r="A57" s="1">
        <v>46216</v>
      </c>
      <c r="B57" t="s">
        <v>72</v>
      </c>
      <c r="C57">
        <v>210</v>
      </c>
      <c r="D57" s="2">
        <v>0.72916666666666663</v>
      </c>
    </row>
    <row r="58" spans="1:4" x14ac:dyDescent="0.2">
      <c r="A58" s="1">
        <v>46216</v>
      </c>
      <c r="B58" t="s">
        <v>73</v>
      </c>
      <c r="C58">
        <v>158</v>
      </c>
      <c r="D58" s="2">
        <v>0.76736111111111116</v>
      </c>
    </row>
    <row r="59" spans="1:4" x14ac:dyDescent="0.2">
      <c r="A59" s="1">
        <v>46216</v>
      </c>
      <c r="B59" t="s">
        <v>74</v>
      </c>
      <c r="C59">
        <v>700</v>
      </c>
      <c r="D59" s="2">
        <v>0.55208333333333337</v>
      </c>
    </row>
    <row r="60" spans="1:4" x14ac:dyDescent="0.2">
      <c r="A60" s="1">
        <v>46216</v>
      </c>
      <c r="B60" t="s">
        <v>75</v>
      </c>
      <c r="C60">
        <v>1500</v>
      </c>
      <c r="D60" s="2">
        <v>0.64583333333333337</v>
      </c>
    </row>
    <row r="61" spans="1:4" x14ac:dyDescent="0.2">
      <c r="A61" s="1">
        <v>46217</v>
      </c>
      <c r="B61" t="s">
        <v>76</v>
      </c>
      <c r="C61">
        <v>2915</v>
      </c>
      <c r="D61" s="2">
        <v>4.1666666666666664E-2</v>
      </c>
    </row>
    <row r="62" spans="1:4" x14ac:dyDescent="0.2">
      <c r="A62" s="1">
        <v>46217</v>
      </c>
      <c r="B62" t="s">
        <v>62</v>
      </c>
      <c r="C62">
        <v>812</v>
      </c>
      <c r="D62" s="2">
        <v>0.4375</v>
      </c>
    </row>
    <row r="63" spans="1:4" x14ac:dyDescent="0.2">
      <c r="A63" s="1">
        <v>46217</v>
      </c>
      <c r="B63" t="s">
        <v>78</v>
      </c>
      <c r="C63">
        <v>200</v>
      </c>
      <c r="D63" s="2">
        <v>0.52777777777777779</v>
      </c>
    </row>
    <row r="64" spans="1:4" x14ac:dyDescent="0.2">
      <c r="A64" s="1">
        <v>46217</v>
      </c>
      <c r="B64" t="s">
        <v>79</v>
      </c>
      <c r="C64">
        <v>35</v>
      </c>
      <c r="D64" s="2">
        <v>0.72916666666666663</v>
      </c>
    </row>
    <row r="65" spans="1:4" x14ac:dyDescent="0.2">
      <c r="A65" s="1">
        <v>46218</v>
      </c>
      <c r="B65" t="s">
        <v>51</v>
      </c>
      <c r="C65">
        <v>268</v>
      </c>
      <c r="D65" s="2">
        <v>0.52083333333333337</v>
      </c>
    </row>
    <row r="66" spans="1:4" x14ac:dyDescent="0.2">
      <c r="A66" s="1">
        <v>46218</v>
      </c>
      <c r="B66" t="s">
        <v>47</v>
      </c>
      <c r="C66">
        <v>686</v>
      </c>
      <c r="D66" s="2">
        <v>0.75</v>
      </c>
    </row>
    <row r="67" spans="1:4" x14ac:dyDescent="0.2">
      <c r="A67" s="1">
        <v>46218</v>
      </c>
      <c r="B67" t="s">
        <v>79</v>
      </c>
      <c r="C67">
        <v>160</v>
      </c>
      <c r="D67" s="2">
        <v>0.76041666666666663</v>
      </c>
    </row>
    <row r="68" spans="1:4" x14ac:dyDescent="0.2">
      <c r="A68" s="1">
        <v>46219</v>
      </c>
      <c r="B68" t="s">
        <v>51</v>
      </c>
      <c r="C68">
        <v>268</v>
      </c>
      <c r="D68" s="2">
        <v>0.55208333333333337</v>
      </c>
    </row>
    <row r="69" spans="1:4" x14ac:dyDescent="0.2">
      <c r="A69" s="1">
        <v>46219</v>
      </c>
      <c r="B69" t="s">
        <v>79</v>
      </c>
      <c r="C69">
        <v>80</v>
      </c>
      <c r="D69" s="2">
        <v>0.55902777777777779</v>
      </c>
    </row>
    <row r="70" spans="1:4" x14ac:dyDescent="0.2">
      <c r="A70" s="1">
        <v>46219</v>
      </c>
      <c r="B70" t="s">
        <v>93</v>
      </c>
      <c r="C70">
        <v>746</v>
      </c>
      <c r="D70" s="2">
        <v>0.78125</v>
      </c>
    </row>
    <row r="71" spans="1:4" x14ac:dyDescent="0.2">
      <c r="A71" s="1">
        <v>46220</v>
      </c>
      <c r="B71" t="s">
        <v>94</v>
      </c>
      <c r="C71">
        <v>270</v>
      </c>
      <c r="D71" s="2">
        <v>0.52083333333333337</v>
      </c>
    </row>
    <row r="72" spans="1:4" x14ac:dyDescent="0.2">
      <c r="A72" s="1">
        <v>46220</v>
      </c>
      <c r="B72" t="s">
        <v>95</v>
      </c>
      <c r="C72">
        <v>850</v>
      </c>
      <c r="D72" s="2">
        <v>0.84375</v>
      </c>
    </row>
    <row r="73" spans="1:4" x14ac:dyDescent="0.2">
      <c r="A73" s="1">
        <v>46221</v>
      </c>
      <c r="B73" t="s">
        <v>51</v>
      </c>
      <c r="C73">
        <v>268</v>
      </c>
      <c r="D73" s="2">
        <v>0.57638888888888884</v>
      </c>
    </row>
    <row r="74" spans="1:4" x14ac:dyDescent="0.2">
      <c r="A74" s="1">
        <v>46221</v>
      </c>
      <c r="B74" t="s">
        <v>96</v>
      </c>
      <c r="C74">
        <v>1043</v>
      </c>
      <c r="D74" s="2">
        <v>0.78125</v>
      </c>
    </row>
    <row r="75" spans="1:4" x14ac:dyDescent="0.2">
      <c r="A75" s="1">
        <v>46221</v>
      </c>
      <c r="B75" t="s">
        <v>25</v>
      </c>
      <c r="C75">
        <v>225</v>
      </c>
      <c r="D75" s="2">
        <v>0.95138888888888884</v>
      </c>
    </row>
    <row r="76" spans="1:4" x14ac:dyDescent="0.2">
      <c r="A76" s="1">
        <v>46222</v>
      </c>
      <c r="B76" t="s">
        <v>97</v>
      </c>
      <c r="C76">
        <v>744</v>
      </c>
      <c r="D76" s="2">
        <v>0.84722222222222221</v>
      </c>
    </row>
    <row r="77" spans="1:4" x14ac:dyDescent="0.2">
      <c r="A77" s="1">
        <v>46222</v>
      </c>
      <c r="B77" t="s">
        <v>98</v>
      </c>
      <c r="C77">
        <v>210</v>
      </c>
      <c r="D77" s="2">
        <v>0.9375</v>
      </c>
    </row>
    <row r="78" spans="1:4" x14ac:dyDescent="0.2">
      <c r="A78" s="1">
        <v>46223</v>
      </c>
      <c r="B78" t="s">
        <v>44</v>
      </c>
      <c r="C78">
        <v>536</v>
      </c>
      <c r="D78" s="2">
        <v>0.54166666666666663</v>
      </c>
    </row>
    <row r="79" spans="1:4" x14ac:dyDescent="0.2">
      <c r="A79" s="1">
        <v>46223</v>
      </c>
      <c r="B79" t="s">
        <v>99</v>
      </c>
      <c r="C79">
        <v>47</v>
      </c>
      <c r="D79" s="2">
        <v>0.65625</v>
      </c>
    </row>
    <row r="80" spans="1:4" x14ac:dyDescent="0.2">
      <c r="A80" s="1">
        <v>46223</v>
      </c>
      <c r="B80" t="s">
        <v>97</v>
      </c>
      <c r="C80">
        <v>744</v>
      </c>
      <c r="D80" s="2">
        <v>0.73958333333333337</v>
      </c>
    </row>
    <row r="81" spans="1:4" x14ac:dyDescent="0.2">
      <c r="A81" s="1">
        <v>46223</v>
      </c>
      <c r="B81" t="s">
        <v>100</v>
      </c>
      <c r="C81">
        <v>278</v>
      </c>
      <c r="D81" s="2">
        <v>0.73958333333333337</v>
      </c>
    </row>
    <row r="82" spans="1:4" x14ac:dyDescent="0.2">
      <c r="A82" s="1">
        <v>46224</v>
      </c>
      <c r="B82" t="s">
        <v>51</v>
      </c>
      <c r="C82">
        <v>268</v>
      </c>
      <c r="D82" s="2">
        <v>0.55208333333333337</v>
      </c>
    </row>
    <row r="83" spans="1:4" x14ac:dyDescent="0.2">
      <c r="A83" s="1">
        <v>46224</v>
      </c>
      <c r="B83" t="s">
        <v>101</v>
      </c>
      <c r="C83">
        <v>582</v>
      </c>
      <c r="D83" s="2">
        <v>0.80208333333333337</v>
      </c>
    </row>
    <row r="84" spans="1:4" x14ac:dyDescent="0.2">
      <c r="A84" s="1">
        <v>46224</v>
      </c>
      <c r="B84" t="s">
        <v>102</v>
      </c>
      <c r="C84">
        <v>179</v>
      </c>
      <c r="D84" s="2">
        <v>0.82638888888888884</v>
      </c>
    </row>
    <row r="85" spans="1:4" x14ac:dyDescent="0.2">
      <c r="A85" s="1">
        <v>46225</v>
      </c>
      <c r="B85" t="s">
        <v>51</v>
      </c>
      <c r="C85">
        <v>268</v>
      </c>
      <c r="D85" s="2">
        <v>0.52083333333333337</v>
      </c>
    </row>
    <row r="86" spans="1:4" x14ac:dyDescent="0.2">
      <c r="A86" s="1">
        <v>46225</v>
      </c>
      <c r="B86" t="s">
        <v>103</v>
      </c>
      <c r="C86">
        <v>450</v>
      </c>
      <c r="D86" s="2">
        <v>0.80555555555555558</v>
      </c>
    </row>
    <row r="87" spans="1:4" x14ac:dyDescent="0.2">
      <c r="A87" s="1">
        <v>46225</v>
      </c>
      <c r="B87" t="s">
        <v>104</v>
      </c>
      <c r="C87">
        <v>615</v>
      </c>
      <c r="D87" s="2">
        <v>0.78125</v>
      </c>
    </row>
    <row r="88" spans="1:4" x14ac:dyDescent="0.2">
      <c r="A88" s="1">
        <v>46226</v>
      </c>
      <c r="B88" t="s">
        <v>51</v>
      </c>
      <c r="C88">
        <v>268</v>
      </c>
      <c r="D88" s="2">
        <v>0.54166666666666663</v>
      </c>
    </row>
    <row r="89" spans="1:4" x14ac:dyDescent="0.2">
      <c r="A89" s="1">
        <v>46226</v>
      </c>
      <c r="B89" t="s">
        <v>102</v>
      </c>
      <c r="C89">
        <v>179</v>
      </c>
      <c r="D89" s="2">
        <v>0.55555555555555558</v>
      </c>
    </row>
    <row r="90" spans="1:4" x14ac:dyDescent="0.2">
      <c r="A90" s="1">
        <v>46226</v>
      </c>
      <c r="B90" t="s">
        <v>105</v>
      </c>
      <c r="C90">
        <v>1680</v>
      </c>
      <c r="D90" s="2">
        <v>0.84722222222222221</v>
      </c>
    </row>
    <row r="91" spans="1:4" x14ac:dyDescent="0.2">
      <c r="A91" s="1">
        <v>46227</v>
      </c>
      <c r="B91" t="s">
        <v>106</v>
      </c>
      <c r="C91">
        <v>550</v>
      </c>
      <c r="D91" s="2">
        <v>0.54166666666666663</v>
      </c>
    </row>
    <row r="92" spans="1:4" x14ac:dyDescent="0.2">
      <c r="A92" s="1">
        <v>46227</v>
      </c>
      <c r="B92" t="s">
        <v>107</v>
      </c>
      <c r="C92">
        <v>780</v>
      </c>
      <c r="D92" s="2">
        <v>0.84027777777777779</v>
      </c>
    </row>
    <row r="93" spans="1:4" x14ac:dyDescent="0.2">
      <c r="A93" s="1">
        <v>46228</v>
      </c>
      <c r="B93" t="s">
        <v>108</v>
      </c>
      <c r="C93">
        <v>460</v>
      </c>
      <c r="D93" s="2">
        <v>0.41666666666666669</v>
      </c>
    </row>
    <row r="94" spans="1:4" x14ac:dyDescent="0.2">
      <c r="A94" s="1">
        <v>46228</v>
      </c>
      <c r="B94" t="s">
        <v>109</v>
      </c>
      <c r="C94">
        <v>1050</v>
      </c>
      <c r="D94" s="2">
        <v>0.58333333333333337</v>
      </c>
    </row>
    <row r="95" spans="1:4" x14ac:dyDescent="0.2">
      <c r="A95" s="1">
        <v>46228</v>
      </c>
      <c r="B95" t="s">
        <v>110</v>
      </c>
      <c r="C95">
        <v>650</v>
      </c>
      <c r="D95" s="2">
        <v>0.60416666666666663</v>
      </c>
    </row>
    <row r="96" spans="1:4" x14ac:dyDescent="0.2">
      <c r="A96" s="1">
        <v>46228</v>
      </c>
      <c r="B96" t="s">
        <v>111</v>
      </c>
      <c r="C96">
        <v>300</v>
      </c>
      <c r="D96" s="2">
        <v>0.58333333333333337</v>
      </c>
    </row>
    <row r="97" spans="1:4" x14ac:dyDescent="0.2">
      <c r="A97" s="1">
        <v>46228</v>
      </c>
      <c r="B97" t="s">
        <v>112</v>
      </c>
      <c r="C97">
        <v>500</v>
      </c>
      <c r="D97" s="2">
        <v>0.72916666666666663</v>
      </c>
    </row>
    <row r="98" spans="1:4" x14ac:dyDescent="0.2">
      <c r="A98" s="1">
        <v>46229</v>
      </c>
      <c r="B98" t="s">
        <v>51</v>
      </c>
      <c r="C98">
        <v>268</v>
      </c>
      <c r="D98" s="2">
        <v>0.63888888888888884</v>
      </c>
    </row>
    <row r="99" spans="1:4" x14ac:dyDescent="0.2">
      <c r="A99" s="1">
        <v>46229</v>
      </c>
      <c r="B99" t="s">
        <v>113</v>
      </c>
      <c r="C99">
        <v>780</v>
      </c>
      <c r="D99" s="2">
        <v>0.76041666666666663</v>
      </c>
    </row>
    <row r="100" spans="1:4" x14ac:dyDescent="0.2">
      <c r="A100" s="1">
        <v>46229</v>
      </c>
      <c r="B100" t="s">
        <v>48</v>
      </c>
      <c r="C100">
        <v>278</v>
      </c>
      <c r="D100" s="2">
        <v>0.76736111111111116</v>
      </c>
    </row>
    <row r="101" spans="1:4" x14ac:dyDescent="0.2">
      <c r="A101" s="1">
        <v>46230</v>
      </c>
      <c r="B101" t="s">
        <v>114</v>
      </c>
      <c r="C101">
        <v>125</v>
      </c>
      <c r="D101" s="2">
        <v>0.44444444444444442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79522-FEE3-4D4D-AC62-E189981ACC3D}">
  <dimension ref="A1:I131"/>
  <sheetViews>
    <sheetView tabSelected="1" topLeftCell="A9" zoomScaleNormal="100" zoomScaleSheetLayoutView="100" workbookViewId="0">
      <selection activeCell="C30" sqref="C30"/>
    </sheetView>
  </sheetViews>
  <sheetFormatPr defaultRowHeight="15" x14ac:dyDescent="0.2"/>
  <cols>
    <col min="1" max="1" width="10.4921875" bestFit="1" customWidth="1"/>
    <col min="2" max="5" width="8.609375" customWidth="1"/>
    <col min="7" max="7" width="10.625" bestFit="1" customWidth="1"/>
  </cols>
  <sheetData>
    <row r="1" spans="1:9" x14ac:dyDescent="0.2">
      <c r="A1" t="s">
        <v>0</v>
      </c>
      <c r="B1" t="s">
        <v>8</v>
      </c>
      <c r="C1" t="s">
        <v>11</v>
      </c>
      <c r="D1" t="s">
        <v>9</v>
      </c>
      <c r="E1" t="s">
        <v>10</v>
      </c>
      <c r="F1" t="s">
        <v>19</v>
      </c>
      <c r="G1" t="s">
        <v>20</v>
      </c>
      <c r="I1" t="s">
        <v>24</v>
      </c>
    </row>
    <row r="2" spans="1:9" x14ac:dyDescent="0.2">
      <c r="A2" s="1">
        <v>46202</v>
      </c>
      <c r="B2">
        <f ca="1">IF(A2&lt;=TODAY(),SUMIF(Raw!A:A,A2,Raw!C:C),"")</f>
        <v>1224</v>
      </c>
      <c r="C2">
        <v>591</v>
      </c>
      <c r="D2">
        <f ca="1">IF(A2&lt;=TODAY(),+$I$2+C2,"")</f>
        <v>2391</v>
      </c>
      <c r="E2">
        <f ca="1">IF(A2&lt;=TODAY(),B2-D2,"")</f>
        <v>-1167</v>
      </c>
      <c r="F2">
        <v>75.900000000000006</v>
      </c>
      <c r="G2" s="2">
        <v>0.97222222222222221</v>
      </c>
      <c r="I2">
        <v>1800</v>
      </c>
    </row>
    <row r="3" spans="1:9" x14ac:dyDescent="0.2">
      <c r="A3" s="1">
        <v>46203</v>
      </c>
      <c r="B3">
        <f ca="1">IF(A3&lt;=TODAY(),SUMIF(Raw!A:A,A3,Raw!C:C),"")</f>
        <v>1691</v>
      </c>
      <c r="C3">
        <v>593</v>
      </c>
      <c r="D3">
        <f t="shared" ref="D3:D65" ca="1" si="0">IF(A3&lt;=TODAY(),+$I$2+C3,"")</f>
        <v>2393</v>
      </c>
      <c r="E3">
        <f t="shared" ref="E3:E65" ca="1" si="1">IF(A3&lt;=TODAY(),B3-D3,"")</f>
        <v>-702</v>
      </c>
      <c r="F3">
        <v>75.400000000000006</v>
      </c>
      <c r="G3" s="2">
        <v>0.80902777777777779</v>
      </c>
    </row>
    <row r="4" spans="1:9" x14ac:dyDescent="0.2">
      <c r="A4" s="1">
        <v>46204</v>
      </c>
      <c r="B4">
        <f ca="1">IF(A4&lt;=TODAY(),SUMIF(Raw!A:A,A4,Raw!C:C),"")</f>
        <v>1839</v>
      </c>
      <c r="C4">
        <v>631</v>
      </c>
      <c r="D4">
        <f t="shared" ca="1" si="0"/>
        <v>2431</v>
      </c>
      <c r="E4">
        <f t="shared" ca="1" si="1"/>
        <v>-592</v>
      </c>
      <c r="F4">
        <v>75.400000000000006</v>
      </c>
      <c r="G4" s="2">
        <v>0.96875</v>
      </c>
    </row>
    <row r="5" spans="1:9" x14ac:dyDescent="0.2">
      <c r="A5" s="1">
        <v>46205</v>
      </c>
      <c r="B5">
        <f ca="1">IF(A5&lt;=TODAY(),SUMIF(Raw!A:A,A5,Raw!C:C),"")</f>
        <v>1709</v>
      </c>
      <c r="C5">
        <v>644</v>
      </c>
      <c r="D5">
        <f t="shared" ca="1" si="0"/>
        <v>2444</v>
      </c>
      <c r="E5">
        <f t="shared" ca="1" si="1"/>
        <v>-735</v>
      </c>
      <c r="F5">
        <v>75.8</v>
      </c>
      <c r="G5" s="2">
        <v>0.85</v>
      </c>
    </row>
    <row r="6" spans="1:9" x14ac:dyDescent="0.2">
      <c r="A6" s="1">
        <v>46206</v>
      </c>
      <c r="B6">
        <f ca="1">IF(A6&lt;=TODAY(),SUMIF(Raw!A:A,A6,Raw!C:C),"")</f>
        <v>1509</v>
      </c>
      <c r="C6">
        <v>713</v>
      </c>
      <c r="D6">
        <f t="shared" ca="1" si="0"/>
        <v>2513</v>
      </c>
      <c r="E6">
        <f t="shared" ca="1" si="1"/>
        <v>-1004</v>
      </c>
      <c r="F6">
        <v>75.8</v>
      </c>
      <c r="G6" s="2">
        <v>0.78680555555555554</v>
      </c>
    </row>
    <row r="7" spans="1:9" x14ac:dyDescent="0.2">
      <c r="A7" s="1">
        <v>46207</v>
      </c>
      <c r="B7">
        <f ca="1">IF(A7&lt;=TODAY(),SUMIF(Raw!A:A,A7,Raw!C:C),"")</f>
        <v>1820</v>
      </c>
      <c r="C7">
        <v>538</v>
      </c>
      <c r="D7">
        <f t="shared" ca="1" si="0"/>
        <v>2338</v>
      </c>
      <c r="E7">
        <f t="shared" ca="1" si="1"/>
        <v>-518</v>
      </c>
      <c r="F7">
        <v>75.599999999999994</v>
      </c>
      <c r="G7" s="2">
        <v>0.52986111111111112</v>
      </c>
    </row>
    <row r="8" spans="1:9" x14ac:dyDescent="0.2">
      <c r="A8" s="1">
        <v>46208</v>
      </c>
      <c r="B8">
        <f ca="1">IF(A8&lt;=TODAY(),SUMIF(Raw!A:A,A8,Raw!C:C),"")</f>
        <v>2391</v>
      </c>
      <c r="C8">
        <v>648</v>
      </c>
      <c r="D8">
        <f t="shared" ca="1" si="0"/>
        <v>2448</v>
      </c>
      <c r="E8">
        <f t="shared" ca="1" si="1"/>
        <v>-57</v>
      </c>
      <c r="F8">
        <v>75.900000000000006</v>
      </c>
      <c r="G8" s="2">
        <v>0.99652777777777779</v>
      </c>
    </row>
    <row r="9" spans="1:9" x14ac:dyDescent="0.2">
      <c r="A9" s="1">
        <v>46209</v>
      </c>
      <c r="B9">
        <f ca="1">IF(A9&lt;=TODAY(),SUMIF(Raw!A:A,A9,Raw!C:C),"")</f>
        <v>1323</v>
      </c>
      <c r="C9">
        <v>284</v>
      </c>
      <c r="D9">
        <f t="shared" ca="1" si="0"/>
        <v>2084</v>
      </c>
      <c r="E9">
        <f t="shared" ca="1" si="1"/>
        <v>-761</v>
      </c>
      <c r="F9">
        <v>75.2</v>
      </c>
      <c r="G9" s="2">
        <v>0.83333333333333337</v>
      </c>
    </row>
    <row r="10" spans="1:9" x14ac:dyDescent="0.2">
      <c r="A10" s="1">
        <v>46210</v>
      </c>
      <c r="B10">
        <f ca="1">IF(A10&lt;=TODAY(),SUMIF(Raw!A:A,A10,Raw!C:C),"")</f>
        <v>889</v>
      </c>
      <c r="C10">
        <v>983</v>
      </c>
      <c r="D10">
        <f t="shared" ca="1" si="0"/>
        <v>2783</v>
      </c>
      <c r="E10">
        <f t="shared" ca="1" si="1"/>
        <v>-1894</v>
      </c>
      <c r="F10">
        <v>74.7</v>
      </c>
      <c r="G10" s="2">
        <v>0.84722222222222221</v>
      </c>
    </row>
    <row r="11" spans="1:9" x14ac:dyDescent="0.2">
      <c r="A11" s="1">
        <v>46211</v>
      </c>
      <c r="B11">
        <f ca="1">IF(A11&lt;=TODAY(),SUMIF(Raw!A:A,A11,Raw!C:C),"")</f>
        <v>1960</v>
      </c>
      <c r="C11">
        <v>310</v>
      </c>
      <c r="D11">
        <f t="shared" ca="1" si="0"/>
        <v>2110</v>
      </c>
      <c r="E11">
        <f t="shared" ca="1" si="1"/>
        <v>-150</v>
      </c>
      <c r="F11">
        <v>73.7</v>
      </c>
      <c r="G11" s="2">
        <v>0.32291666666666669</v>
      </c>
    </row>
    <row r="12" spans="1:9" x14ac:dyDescent="0.2">
      <c r="A12" s="1">
        <v>46212</v>
      </c>
      <c r="B12">
        <f ca="1">IF(A12&lt;=TODAY(),SUMIF(Raw!A:A,A12,Raw!C:C),"")</f>
        <v>2169</v>
      </c>
      <c r="C12">
        <v>120</v>
      </c>
      <c r="D12">
        <f t="shared" ca="1" si="0"/>
        <v>1920</v>
      </c>
      <c r="E12">
        <f t="shared" ca="1" si="1"/>
        <v>249</v>
      </c>
      <c r="F12">
        <v>74</v>
      </c>
      <c r="G12">
        <v>19.46</v>
      </c>
    </row>
    <row r="13" spans="1:9" x14ac:dyDescent="0.2">
      <c r="A13" s="1">
        <v>46213</v>
      </c>
      <c r="B13">
        <f ca="1">IF(A13&lt;=TODAY(),SUMIF(Raw!A:A,A13,Raw!C:C),"")</f>
        <v>1208</v>
      </c>
      <c r="C13">
        <v>611</v>
      </c>
      <c r="D13">
        <f t="shared" ca="1" si="0"/>
        <v>2411</v>
      </c>
      <c r="E13">
        <f t="shared" ca="1" si="1"/>
        <v>-1203</v>
      </c>
      <c r="F13" t="s">
        <v>61</v>
      </c>
      <c r="G13" t="s">
        <v>61</v>
      </c>
    </row>
    <row r="14" spans="1:9" x14ac:dyDescent="0.2">
      <c r="A14" s="1">
        <v>46214</v>
      </c>
      <c r="B14">
        <f ca="1">IF(A14&lt;=TODAY(),SUMIF(Raw!A:A,A14,Raw!C:C),"")</f>
        <v>4278</v>
      </c>
      <c r="C14">
        <v>687</v>
      </c>
      <c r="D14">
        <f t="shared" ca="1" si="0"/>
        <v>2487</v>
      </c>
      <c r="E14">
        <f t="shared" ca="1" si="1"/>
        <v>1791</v>
      </c>
      <c r="F14" t="s">
        <v>61</v>
      </c>
      <c r="G14" t="s">
        <v>61</v>
      </c>
    </row>
    <row r="15" spans="1:9" x14ac:dyDescent="0.2">
      <c r="A15" s="1">
        <v>46215</v>
      </c>
      <c r="B15">
        <f ca="1">IF(A15&lt;=TODAY(),SUMIF(Raw!A:A,A15,Raw!C:C),"")</f>
        <v>4093</v>
      </c>
      <c r="C15">
        <v>650</v>
      </c>
      <c r="D15">
        <f t="shared" ca="1" si="0"/>
        <v>2450</v>
      </c>
      <c r="E15">
        <f t="shared" ca="1" si="1"/>
        <v>1643</v>
      </c>
      <c r="F15" t="s">
        <v>61</v>
      </c>
      <c r="G15" t="s">
        <v>61</v>
      </c>
    </row>
    <row r="16" spans="1:9" x14ac:dyDescent="0.2">
      <c r="A16" s="1">
        <v>46216</v>
      </c>
      <c r="B16">
        <f ca="1">IF(A16&lt;=TODAY(),SUMIF(Raw!A:A,A16,Raw!C:C),"")</f>
        <v>3368</v>
      </c>
      <c r="C16">
        <v>916</v>
      </c>
      <c r="D16">
        <f t="shared" ca="1" si="0"/>
        <v>2716</v>
      </c>
      <c r="E16">
        <f t="shared" ca="1" si="1"/>
        <v>652</v>
      </c>
      <c r="F16" t="s">
        <v>61</v>
      </c>
      <c r="G16" t="s">
        <v>61</v>
      </c>
    </row>
    <row r="17" spans="1:7" x14ac:dyDescent="0.2">
      <c r="A17" s="1">
        <v>46217</v>
      </c>
      <c r="B17">
        <f ca="1">IF(A17&lt;=TODAY(),SUMIF(Raw!A:A,A17,Raw!C:C),"")</f>
        <v>3962</v>
      </c>
      <c r="C17">
        <v>453</v>
      </c>
      <c r="D17">
        <f t="shared" ca="1" si="0"/>
        <v>2253</v>
      </c>
      <c r="E17">
        <f t="shared" ca="1" si="1"/>
        <v>1709</v>
      </c>
      <c r="F17">
        <v>77.3</v>
      </c>
      <c r="G17" s="2">
        <v>0.88124999999999998</v>
      </c>
    </row>
    <row r="18" spans="1:7" x14ac:dyDescent="0.2">
      <c r="A18" s="1">
        <v>46218</v>
      </c>
      <c r="B18">
        <f ca="1">IF(A18&lt;=TODAY(),SUMIF(Raw!A:A,A18,Raw!C:C),"")</f>
        <v>1114</v>
      </c>
      <c r="C18">
        <v>799</v>
      </c>
      <c r="D18">
        <f t="shared" ca="1" si="0"/>
        <v>2599</v>
      </c>
      <c r="E18">
        <f t="shared" ca="1" si="1"/>
        <v>-1485</v>
      </c>
      <c r="F18">
        <v>76</v>
      </c>
      <c r="G18" s="2">
        <v>0.54166666666666663</v>
      </c>
    </row>
    <row r="19" spans="1:7" x14ac:dyDescent="0.2">
      <c r="A19" s="1">
        <v>46219</v>
      </c>
      <c r="B19">
        <f ca="1">IF(A19&lt;=TODAY(),SUMIF(Raw!A:A,A19,Raw!C:C),"")</f>
        <v>1094</v>
      </c>
      <c r="C19">
        <v>510</v>
      </c>
      <c r="D19">
        <f t="shared" ca="1" si="0"/>
        <v>2310</v>
      </c>
      <c r="E19">
        <f t="shared" ca="1" si="1"/>
        <v>-1216</v>
      </c>
      <c r="F19">
        <v>74.400000000000006</v>
      </c>
      <c r="G19" s="2">
        <v>0.82638888888888884</v>
      </c>
    </row>
    <row r="20" spans="1:7" x14ac:dyDescent="0.2">
      <c r="A20" s="1">
        <v>46220</v>
      </c>
      <c r="B20">
        <f ca="1">IF(A20&lt;=TODAY(),SUMIF(Raw!A:A,A20,Raw!C:C),"")</f>
        <v>1120</v>
      </c>
      <c r="C20">
        <v>477</v>
      </c>
      <c r="D20">
        <f t="shared" ca="1" si="0"/>
        <v>2277</v>
      </c>
      <c r="E20">
        <f t="shared" ca="1" si="1"/>
        <v>-1157</v>
      </c>
      <c r="F20">
        <v>73.599999999999994</v>
      </c>
      <c r="G20" s="2">
        <v>0.74722222222222223</v>
      </c>
    </row>
    <row r="21" spans="1:7" x14ac:dyDescent="0.2">
      <c r="A21" s="1">
        <v>46221</v>
      </c>
      <c r="B21">
        <f ca="1">IF(A21&lt;=TODAY(),SUMIF(Raw!A:A,A21,Raw!C:C),"")</f>
        <v>1536</v>
      </c>
      <c r="C21">
        <v>894</v>
      </c>
      <c r="D21">
        <f t="shared" ca="1" si="0"/>
        <v>2694</v>
      </c>
      <c r="E21">
        <f t="shared" ca="1" si="1"/>
        <v>-1158</v>
      </c>
      <c r="F21">
        <v>74.599999999999994</v>
      </c>
      <c r="G21" s="2">
        <v>0.95833333333333337</v>
      </c>
    </row>
    <row r="22" spans="1:7" x14ac:dyDescent="0.2">
      <c r="A22" s="1">
        <v>46222</v>
      </c>
      <c r="B22">
        <f ca="1">IF(A22&lt;=TODAY(),SUMIF(Raw!A:A,A22,Raw!C:C),"")</f>
        <v>954</v>
      </c>
      <c r="C22">
        <v>350</v>
      </c>
      <c r="D22">
        <f t="shared" ca="1" si="0"/>
        <v>2150</v>
      </c>
      <c r="E22">
        <f t="shared" ca="1" si="1"/>
        <v>-1196</v>
      </c>
      <c r="F22">
        <v>73.900000000000006</v>
      </c>
      <c r="G22" s="2">
        <v>0.93263888888888891</v>
      </c>
    </row>
    <row r="23" spans="1:7" x14ac:dyDescent="0.2">
      <c r="A23" s="1">
        <v>46223</v>
      </c>
      <c r="B23">
        <f ca="1">IF(A23&lt;=TODAY(),SUMIF(Raw!A:A,A23,Raw!C:C),"")</f>
        <v>1605</v>
      </c>
      <c r="C23">
        <v>625</v>
      </c>
      <c r="D23">
        <f t="shared" ca="1" si="0"/>
        <v>2425</v>
      </c>
      <c r="E23">
        <f t="shared" ca="1" si="1"/>
        <v>-820</v>
      </c>
      <c r="F23">
        <v>73.7</v>
      </c>
      <c r="G23" s="2">
        <v>0.84375</v>
      </c>
    </row>
    <row r="24" spans="1:7" x14ac:dyDescent="0.2">
      <c r="A24" s="1">
        <v>46224</v>
      </c>
      <c r="B24">
        <f ca="1">IF(A24&lt;=TODAY(),SUMIF(Raw!A:A,A24,Raw!C:C),"")</f>
        <v>1029</v>
      </c>
      <c r="C24">
        <v>551</v>
      </c>
      <c r="D24">
        <f t="shared" ca="1" si="0"/>
        <v>2351</v>
      </c>
      <c r="E24">
        <f t="shared" ca="1" si="1"/>
        <v>-1322</v>
      </c>
      <c r="F24">
        <v>73.099999999999994</v>
      </c>
      <c r="G24" s="2">
        <v>0.94930555555555551</v>
      </c>
    </row>
    <row r="25" spans="1:7" x14ac:dyDescent="0.2">
      <c r="A25" s="1">
        <v>46225</v>
      </c>
      <c r="B25">
        <f ca="1">IF(A25&lt;=TODAY(),SUMIF(Raw!A:A,A25,Raw!C:C),"")</f>
        <v>1333</v>
      </c>
      <c r="C25">
        <v>645</v>
      </c>
      <c r="D25">
        <f t="shared" ca="1" si="0"/>
        <v>2445</v>
      </c>
      <c r="E25">
        <f t="shared" ca="1" si="1"/>
        <v>-1112</v>
      </c>
      <c r="F25">
        <v>71.5</v>
      </c>
      <c r="G25" s="2">
        <v>0.95833333333333337</v>
      </c>
    </row>
    <row r="26" spans="1:7" x14ac:dyDescent="0.2">
      <c r="A26" s="1">
        <v>46226</v>
      </c>
      <c r="B26">
        <f ca="1">IF(A26&lt;=TODAY(),SUMIF(Raw!A:A,A26,Raw!C:C),"")</f>
        <v>2127</v>
      </c>
      <c r="C26">
        <v>536</v>
      </c>
      <c r="D26">
        <f t="shared" ca="1" si="0"/>
        <v>2336</v>
      </c>
      <c r="E26">
        <f t="shared" ca="1" si="1"/>
        <v>-209</v>
      </c>
      <c r="F26">
        <v>72.900000000000006</v>
      </c>
      <c r="G26" s="2">
        <v>0.91666666666666663</v>
      </c>
    </row>
    <row r="27" spans="1:7" x14ac:dyDescent="0.2">
      <c r="A27" s="1">
        <v>46227</v>
      </c>
      <c r="B27">
        <f ca="1">IF(A27&lt;=TODAY(),SUMIF(Raw!A:A,A27,Raw!C:C),"")</f>
        <v>1330</v>
      </c>
      <c r="C27">
        <v>740</v>
      </c>
      <c r="D27">
        <f t="shared" ca="1" si="0"/>
        <v>2540</v>
      </c>
      <c r="E27">
        <f t="shared" ca="1" si="1"/>
        <v>-1210</v>
      </c>
      <c r="F27">
        <v>72.400000000000006</v>
      </c>
      <c r="G27" s="2">
        <v>0.87986111111111109</v>
      </c>
    </row>
    <row r="28" spans="1:7" x14ac:dyDescent="0.2">
      <c r="A28" s="1">
        <v>46228</v>
      </c>
      <c r="B28">
        <f ca="1">IF(A28&lt;=TODAY(),SUMIF(Raw!A:A,A28,Raw!C:C),"")</f>
        <v>2960</v>
      </c>
      <c r="C28">
        <v>545</v>
      </c>
      <c r="D28">
        <f t="shared" ca="1" si="0"/>
        <v>2345</v>
      </c>
      <c r="E28">
        <f t="shared" ca="1" si="1"/>
        <v>615</v>
      </c>
      <c r="F28">
        <v>73.3</v>
      </c>
      <c r="G28" s="2">
        <v>0.98333333333333328</v>
      </c>
    </row>
    <row r="29" spans="1:7" x14ac:dyDescent="0.2">
      <c r="A29" s="1">
        <v>46229</v>
      </c>
      <c r="B29">
        <f ca="1">IF(A29&lt;=TODAY(),SUMIF(Raw!A:A,A29,Raw!C:C),"")</f>
        <v>1326</v>
      </c>
      <c r="C29">
        <v>306</v>
      </c>
      <c r="D29">
        <f t="shared" ca="1" si="0"/>
        <v>2106</v>
      </c>
      <c r="E29">
        <f t="shared" ca="1" si="1"/>
        <v>-780</v>
      </c>
      <c r="F29">
        <v>73.5</v>
      </c>
      <c r="G29" s="2">
        <v>0.84097222222222223</v>
      </c>
    </row>
    <row r="30" spans="1:7" x14ac:dyDescent="0.2">
      <c r="A30" s="1">
        <v>46230</v>
      </c>
      <c r="B30">
        <f ca="1">IF(A30&lt;=TODAY(),SUMIF(Raw!A:A,A30,Raw!C:C),"")</f>
        <v>125</v>
      </c>
      <c r="D30">
        <f t="shared" ca="1" si="0"/>
        <v>1800</v>
      </c>
      <c r="E30">
        <f t="shared" ca="1" si="1"/>
        <v>-1675</v>
      </c>
    </row>
    <row r="31" spans="1:7" x14ac:dyDescent="0.2">
      <c r="A31" s="1">
        <v>46231</v>
      </c>
      <c r="B31" t="str">
        <f ca="1">IF(A31&lt;=TODAY(),SUMIF(Raw!A:A,A31,Raw!C:C),"")</f>
        <v/>
      </c>
      <c r="D31" t="str">
        <f t="shared" ca="1" si="0"/>
        <v/>
      </c>
      <c r="E31" t="str">
        <f t="shared" ca="1" si="1"/>
        <v/>
      </c>
    </row>
    <row r="32" spans="1:7" x14ac:dyDescent="0.2">
      <c r="A32" s="1">
        <v>46232</v>
      </c>
      <c r="B32" t="str">
        <f ca="1">IF(A32&lt;=TODAY(),SUMIF(Raw!A:A,A32,Raw!C:C),"")</f>
        <v/>
      </c>
      <c r="D32" t="str">
        <f t="shared" ca="1" si="0"/>
        <v/>
      </c>
      <c r="E32" t="str">
        <f t="shared" ca="1" si="1"/>
        <v/>
      </c>
    </row>
    <row r="33" spans="1:5" x14ac:dyDescent="0.2">
      <c r="A33" s="1">
        <v>46233</v>
      </c>
      <c r="B33" t="str">
        <f ca="1">IF(A33&lt;=TODAY(),SUMIF(Raw!A:A,A33,Raw!C:C),"")</f>
        <v/>
      </c>
      <c r="D33" t="str">
        <f t="shared" ca="1" si="0"/>
        <v/>
      </c>
      <c r="E33" t="str">
        <f t="shared" ca="1" si="1"/>
        <v/>
      </c>
    </row>
    <row r="34" spans="1:5" x14ac:dyDescent="0.2">
      <c r="A34" s="1">
        <v>46234</v>
      </c>
      <c r="B34" t="str">
        <f ca="1">IF(A34&lt;=TODAY(),SUMIF(Raw!A:A,A34,Raw!C:C),"")</f>
        <v/>
      </c>
      <c r="D34" t="str">
        <f t="shared" ca="1" si="0"/>
        <v/>
      </c>
      <c r="E34" t="str">
        <f t="shared" ca="1" si="1"/>
        <v/>
      </c>
    </row>
    <row r="35" spans="1:5" x14ac:dyDescent="0.2">
      <c r="A35" s="1">
        <v>46235</v>
      </c>
      <c r="B35" t="str">
        <f ca="1">IF(A35&lt;=TODAY(),SUMIF(Raw!A:A,A35,Raw!C:C),"")</f>
        <v/>
      </c>
      <c r="D35" t="str">
        <f t="shared" ca="1" si="0"/>
        <v/>
      </c>
      <c r="E35" t="str">
        <f t="shared" ca="1" si="1"/>
        <v/>
      </c>
    </row>
    <row r="36" spans="1:5" x14ac:dyDescent="0.2">
      <c r="A36" s="1">
        <v>46236</v>
      </c>
      <c r="B36" t="str">
        <f ca="1">IF(A36&lt;=TODAY(),SUMIF(Raw!A:A,A36,Raw!C:C),"")</f>
        <v/>
      </c>
      <c r="D36" t="str">
        <f t="shared" ca="1" si="0"/>
        <v/>
      </c>
      <c r="E36" t="str">
        <f t="shared" ca="1" si="1"/>
        <v/>
      </c>
    </row>
    <row r="37" spans="1:5" x14ac:dyDescent="0.2">
      <c r="A37" s="1">
        <v>46237</v>
      </c>
      <c r="B37" t="str">
        <f ca="1">IF(A37&lt;=TODAY(),SUMIF(Raw!A:A,A37,Raw!C:C),"")</f>
        <v/>
      </c>
      <c r="D37" t="str">
        <f t="shared" ca="1" si="0"/>
        <v/>
      </c>
      <c r="E37" t="str">
        <f t="shared" ca="1" si="1"/>
        <v/>
      </c>
    </row>
    <row r="38" spans="1:5" x14ac:dyDescent="0.2">
      <c r="A38" s="1">
        <v>46238</v>
      </c>
      <c r="B38" t="str">
        <f ca="1">IF(A38&lt;=TODAY(),SUMIF(Raw!A:A,A38,Raw!C:C),"")</f>
        <v/>
      </c>
      <c r="D38" t="str">
        <f t="shared" ca="1" si="0"/>
        <v/>
      </c>
      <c r="E38" t="str">
        <f t="shared" ca="1" si="1"/>
        <v/>
      </c>
    </row>
    <row r="39" spans="1:5" x14ac:dyDescent="0.2">
      <c r="A39" s="1">
        <v>46239</v>
      </c>
      <c r="B39" t="str">
        <f ca="1">IF(A39&lt;=TODAY(),SUMIF(Raw!A:A,A39,Raw!C:C),"")</f>
        <v/>
      </c>
      <c r="D39" t="str">
        <f t="shared" ca="1" si="0"/>
        <v/>
      </c>
      <c r="E39" t="str">
        <f t="shared" ca="1" si="1"/>
        <v/>
      </c>
    </row>
    <row r="40" spans="1:5" x14ac:dyDescent="0.2">
      <c r="A40" s="1">
        <v>46240</v>
      </c>
      <c r="B40" t="str">
        <f ca="1">IF(A40&lt;=TODAY(),SUMIF(Raw!A:A,A40,Raw!C:C),"")</f>
        <v/>
      </c>
      <c r="D40" t="str">
        <f t="shared" ca="1" si="0"/>
        <v/>
      </c>
      <c r="E40" t="str">
        <f t="shared" ca="1" si="1"/>
        <v/>
      </c>
    </row>
    <row r="41" spans="1:5" x14ac:dyDescent="0.2">
      <c r="A41" s="1">
        <v>46241</v>
      </c>
      <c r="B41" t="str">
        <f ca="1">IF(A41&lt;=TODAY(),SUMIF(Raw!A:A,A41,Raw!C:C),"")</f>
        <v/>
      </c>
      <c r="D41" t="str">
        <f t="shared" ca="1" si="0"/>
        <v/>
      </c>
      <c r="E41" t="str">
        <f t="shared" ca="1" si="1"/>
        <v/>
      </c>
    </row>
    <row r="42" spans="1:5" x14ac:dyDescent="0.2">
      <c r="A42" s="1">
        <v>46242</v>
      </c>
      <c r="B42" t="str">
        <f ca="1">IF(A42&lt;=TODAY(),SUMIF(Raw!A:A,A42,Raw!C:C),"")</f>
        <v/>
      </c>
      <c r="D42" t="str">
        <f t="shared" ca="1" si="0"/>
        <v/>
      </c>
      <c r="E42" t="str">
        <f t="shared" ca="1" si="1"/>
        <v/>
      </c>
    </row>
    <row r="43" spans="1:5" x14ac:dyDescent="0.2">
      <c r="A43" s="1">
        <v>46243</v>
      </c>
      <c r="B43" t="str">
        <f ca="1">IF(A43&lt;=TODAY(),SUMIF(Raw!A:A,A43,Raw!C:C),"")</f>
        <v/>
      </c>
      <c r="D43" t="str">
        <f t="shared" ca="1" si="0"/>
        <v/>
      </c>
      <c r="E43" t="str">
        <f t="shared" ca="1" si="1"/>
        <v/>
      </c>
    </row>
    <row r="44" spans="1:5" x14ac:dyDescent="0.2">
      <c r="A44" s="1">
        <v>46244</v>
      </c>
      <c r="B44" t="str">
        <f ca="1">IF(A44&lt;=TODAY(),SUMIF(Raw!A:A,A44,Raw!C:C),"")</f>
        <v/>
      </c>
      <c r="D44" t="str">
        <f t="shared" ca="1" si="0"/>
        <v/>
      </c>
      <c r="E44" t="str">
        <f t="shared" ca="1" si="1"/>
        <v/>
      </c>
    </row>
    <row r="45" spans="1:5" x14ac:dyDescent="0.2">
      <c r="A45" s="1">
        <v>46245</v>
      </c>
      <c r="B45" t="str">
        <f ca="1">IF(A45&lt;=TODAY(),SUMIF(Raw!A:A,A45,Raw!C:C),"")</f>
        <v/>
      </c>
      <c r="D45" t="str">
        <f t="shared" ca="1" si="0"/>
        <v/>
      </c>
      <c r="E45" t="str">
        <f t="shared" ca="1" si="1"/>
        <v/>
      </c>
    </row>
    <row r="46" spans="1:5" x14ac:dyDescent="0.2">
      <c r="A46" s="1">
        <v>46246</v>
      </c>
      <c r="B46" t="str">
        <f ca="1">IF(A46&lt;=TODAY(),SUMIF(Raw!A:A,A46,Raw!C:C),"")</f>
        <v/>
      </c>
      <c r="D46" t="str">
        <f t="shared" ca="1" si="0"/>
        <v/>
      </c>
      <c r="E46" t="str">
        <f t="shared" ca="1" si="1"/>
        <v/>
      </c>
    </row>
    <row r="47" spans="1:5" x14ac:dyDescent="0.2">
      <c r="A47" s="1">
        <v>46247</v>
      </c>
      <c r="B47" t="str">
        <f ca="1">IF(A47&lt;=TODAY(),SUMIF(Raw!A:A,A47,Raw!C:C),"")</f>
        <v/>
      </c>
      <c r="D47" t="str">
        <f t="shared" ca="1" si="0"/>
        <v/>
      </c>
      <c r="E47" t="str">
        <f t="shared" ca="1" si="1"/>
        <v/>
      </c>
    </row>
    <row r="48" spans="1:5" x14ac:dyDescent="0.2">
      <c r="A48" s="1">
        <v>46248</v>
      </c>
      <c r="B48" t="str">
        <f ca="1">IF(A48&lt;=TODAY(),SUMIF(Raw!A:A,A48,Raw!C:C),"")</f>
        <v/>
      </c>
      <c r="D48" t="str">
        <f t="shared" ca="1" si="0"/>
        <v/>
      </c>
      <c r="E48" t="str">
        <f t="shared" ca="1" si="1"/>
        <v/>
      </c>
    </row>
    <row r="49" spans="1:5" x14ac:dyDescent="0.2">
      <c r="A49" s="1">
        <v>46249</v>
      </c>
      <c r="B49" t="str">
        <f ca="1">IF(A49&lt;=TODAY(),SUMIF(Raw!A:A,A49,Raw!C:C),"")</f>
        <v/>
      </c>
      <c r="D49" t="str">
        <f t="shared" ca="1" si="0"/>
        <v/>
      </c>
      <c r="E49" t="str">
        <f t="shared" ca="1" si="1"/>
        <v/>
      </c>
    </row>
    <row r="50" spans="1:5" x14ac:dyDescent="0.2">
      <c r="A50" s="1">
        <v>46250</v>
      </c>
      <c r="B50" t="str">
        <f ca="1">IF(A50&lt;=TODAY(),SUMIF(Raw!A:A,A50,Raw!C:C),"")</f>
        <v/>
      </c>
      <c r="D50" t="str">
        <f t="shared" ca="1" si="0"/>
        <v/>
      </c>
      <c r="E50" t="str">
        <f t="shared" ca="1" si="1"/>
        <v/>
      </c>
    </row>
    <row r="51" spans="1:5" x14ac:dyDescent="0.2">
      <c r="A51" s="1">
        <v>46251</v>
      </c>
      <c r="B51" t="str">
        <f ca="1">IF(A51&lt;=TODAY(),SUMIF(Raw!A:A,A51,Raw!C:C),"")</f>
        <v/>
      </c>
      <c r="D51" t="str">
        <f t="shared" ca="1" si="0"/>
        <v/>
      </c>
      <c r="E51" t="str">
        <f t="shared" ca="1" si="1"/>
        <v/>
      </c>
    </row>
    <row r="52" spans="1:5" x14ac:dyDescent="0.2">
      <c r="A52" s="1">
        <v>46252</v>
      </c>
      <c r="B52" t="str">
        <f ca="1">IF(A52&lt;=TODAY(),SUMIF(Raw!A:A,A52,Raw!C:C),"")</f>
        <v/>
      </c>
      <c r="D52" t="str">
        <f t="shared" ca="1" si="0"/>
        <v/>
      </c>
      <c r="E52" t="str">
        <f t="shared" ca="1" si="1"/>
        <v/>
      </c>
    </row>
    <row r="53" spans="1:5" x14ac:dyDescent="0.2">
      <c r="A53" s="1">
        <v>46253</v>
      </c>
      <c r="B53" t="str">
        <f ca="1">IF(A53&lt;=TODAY(),SUMIF(Raw!A:A,A53,Raw!C:C),"")</f>
        <v/>
      </c>
      <c r="D53" t="str">
        <f t="shared" ca="1" si="0"/>
        <v/>
      </c>
      <c r="E53" t="str">
        <f t="shared" ca="1" si="1"/>
        <v/>
      </c>
    </row>
    <row r="54" spans="1:5" x14ac:dyDescent="0.2">
      <c r="A54" s="1">
        <v>46254</v>
      </c>
      <c r="B54" t="str">
        <f ca="1">IF(A54&lt;=TODAY(),SUMIF(Raw!A:A,A54,Raw!C:C),"")</f>
        <v/>
      </c>
      <c r="D54" t="str">
        <f t="shared" ca="1" si="0"/>
        <v/>
      </c>
      <c r="E54" t="str">
        <f t="shared" ca="1" si="1"/>
        <v/>
      </c>
    </row>
    <row r="55" spans="1:5" x14ac:dyDescent="0.2">
      <c r="A55" s="1">
        <v>46255</v>
      </c>
      <c r="B55" t="str">
        <f ca="1">IF(A55&lt;=TODAY(),SUMIF(Raw!A:A,A55,Raw!C:C),"")</f>
        <v/>
      </c>
      <c r="D55" t="str">
        <f t="shared" ca="1" si="0"/>
        <v/>
      </c>
      <c r="E55" t="str">
        <f t="shared" ca="1" si="1"/>
        <v/>
      </c>
    </row>
    <row r="56" spans="1:5" x14ac:dyDescent="0.2">
      <c r="A56" s="1">
        <v>46256</v>
      </c>
      <c r="B56" t="str">
        <f ca="1">IF(A56&lt;=TODAY(),SUMIF(Raw!A:A,A56,Raw!C:C),"")</f>
        <v/>
      </c>
      <c r="D56" t="str">
        <f t="shared" ca="1" si="0"/>
        <v/>
      </c>
      <c r="E56" t="str">
        <f t="shared" ca="1" si="1"/>
        <v/>
      </c>
    </row>
    <row r="57" spans="1:5" x14ac:dyDescent="0.2">
      <c r="A57" s="1">
        <v>46257</v>
      </c>
      <c r="B57" t="str">
        <f ca="1">IF(A57&lt;=TODAY(),SUMIF(Raw!A:A,A57,Raw!C:C),"")</f>
        <v/>
      </c>
      <c r="D57" t="str">
        <f t="shared" ca="1" si="0"/>
        <v/>
      </c>
      <c r="E57" t="str">
        <f t="shared" ca="1" si="1"/>
        <v/>
      </c>
    </row>
    <row r="58" spans="1:5" x14ac:dyDescent="0.2">
      <c r="A58" s="1">
        <v>46258</v>
      </c>
      <c r="B58" t="str">
        <f ca="1">IF(A58&lt;=TODAY(),SUMIF(Raw!A:A,A58,Raw!C:C),"")</f>
        <v/>
      </c>
      <c r="D58" t="str">
        <f t="shared" ca="1" si="0"/>
        <v/>
      </c>
      <c r="E58" t="str">
        <f t="shared" ca="1" si="1"/>
        <v/>
      </c>
    </row>
    <row r="59" spans="1:5" x14ac:dyDescent="0.2">
      <c r="A59" s="1">
        <v>46259</v>
      </c>
      <c r="B59" t="str">
        <f ca="1">IF(A59&lt;=TODAY(),SUMIF(Raw!A:A,A59,Raw!C:C),"")</f>
        <v/>
      </c>
      <c r="D59" t="str">
        <f t="shared" ca="1" si="0"/>
        <v/>
      </c>
      <c r="E59" t="str">
        <f t="shared" ca="1" si="1"/>
        <v/>
      </c>
    </row>
    <row r="60" spans="1:5" x14ac:dyDescent="0.2">
      <c r="A60" s="1">
        <v>46260</v>
      </c>
      <c r="B60" t="str">
        <f ca="1">IF(A60&lt;=TODAY(),SUMIF(Raw!A:A,A60,Raw!C:C),"")</f>
        <v/>
      </c>
      <c r="D60" t="str">
        <f t="shared" ca="1" si="0"/>
        <v/>
      </c>
      <c r="E60" t="str">
        <f t="shared" ca="1" si="1"/>
        <v/>
      </c>
    </row>
    <row r="61" spans="1:5" x14ac:dyDescent="0.2">
      <c r="A61" s="1">
        <v>46261</v>
      </c>
      <c r="B61" t="str">
        <f ca="1">IF(A61&lt;=TODAY(),SUMIF(Raw!A:A,A61,Raw!C:C),"")</f>
        <v/>
      </c>
      <c r="D61" t="str">
        <f t="shared" ca="1" si="0"/>
        <v/>
      </c>
      <c r="E61" t="str">
        <f t="shared" ca="1" si="1"/>
        <v/>
      </c>
    </row>
    <row r="62" spans="1:5" x14ac:dyDescent="0.2">
      <c r="A62" s="1">
        <v>46262</v>
      </c>
      <c r="B62" t="str">
        <f ca="1">IF(A62&lt;=TODAY(),SUMIF(Raw!A:A,A62,Raw!C:C),"")</f>
        <v/>
      </c>
      <c r="D62" t="str">
        <f t="shared" ca="1" si="0"/>
        <v/>
      </c>
      <c r="E62" t="str">
        <f t="shared" ca="1" si="1"/>
        <v/>
      </c>
    </row>
    <row r="63" spans="1:5" x14ac:dyDescent="0.2">
      <c r="A63" s="1">
        <v>46263</v>
      </c>
      <c r="B63" t="str">
        <f ca="1">IF(A63&lt;=TODAY(),SUMIF(Raw!A:A,A63,Raw!C:C),"")</f>
        <v/>
      </c>
      <c r="D63" t="str">
        <f t="shared" ca="1" si="0"/>
        <v/>
      </c>
      <c r="E63" t="str">
        <f t="shared" ca="1" si="1"/>
        <v/>
      </c>
    </row>
    <row r="64" spans="1:5" x14ac:dyDescent="0.2">
      <c r="A64" s="1">
        <v>46264</v>
      </c>
      <c r="B64" t="str">
        <f ca="1">IF(A64&lt;=TODAY(),SUMIF(Raw!A:A,A64,Raw!C:C),"")</f>
        <v/>
      </c>
      <c r="D64" t="str">
        <f t="shared" ca="1" si="0"/>
        <v/>
      </c>
      <c r="E64" t="str">
        <f t="shared" ca="1" si="1"/>
        <v/>
      </c>
    </row>
    <row r="65" spans="1:5" x14ac:dyDescent="0.2">
      <c r="A65" s="1">
        <v>46265</v>
      </c>
      <c r="B65" t="str">
        <f ca="1">IF(A65&lt;=TODAY(),SUMIF(Raw!A:A,A65,Raw!C:C),"")</f>
        <v/>
      </c>
      <c r="D65" t="str">
        <f t="shared" ca="1" si="0"/>
        <v/>
      </c>
      <c r="E65" t="str">
        <f t="shared" ca="1" si="1"/>
        <v/>
      </c>
    </row>
    <row r="66" spans="1:5" x14ac:dyDescent="0.2">
      <c r="A66" s="1">
        <v>46266</v>
      </c>
    </row>
    <row r="67" spans="1:5" x14ac:dyDescent="0.2">
      <c r="A67" s="1">
        <v>46267</v>
      </c>
    </row>
    <row r="68" spans="1:5" x14ac:dyDescent="0.2">
      <c r="A68" s="1">
        <v>46268</v>
      </c>
    </row>
    <row r="69" spans="1:5" x14ac:dyDescent="0.2">
      <c r="A69" s="1">
        <v>46269</v>
      </c>
    </row>
    <row r="70" spans="1:5" x14ac:dyDescent="0.2">
      <c r="A70" s="1">
        <v>46270</v>
      </c>
    </row>
    <row r="71" spans="1:5" x14ac:dyDescent="0.2">
      <c r="A71" s="1">
        <v>46271</v>
      </c>
    </row>
    <row r="72" spans="1:5" x14ac:dyDescent="0.2">
      <c r="A72" s="1">
        <v>46272</v>
      </c>
    </row>
    <row r="73" spans="1:5" x14ac:dyDescent="0.2">
      <c r="A73" s="1">
        <v>46273</v>
      </c>
    </row>
    <row r="74" spans="1:5" x14ac:dyDescent="0.2">
      <c r="A74" s="1">
        <v>46274</v>
      </c>
    </row>
    <row r="75" spans="1:5" x14ac:dyDescent="0.2">
      <c r="A75" s="1">
        <v>46275</v>
      </c>
    </row>
    <row r="76" spans="1:5" x14ac:dyDescent="0.2">
      <c r="A76" s="1">
        <v>46276</v>
      </c>
    </row>
    <row r="77" spans="1:5" x14ac:dyDescent="0.2">
      <c r="A77" s="1">
        <v>46277</v>
      </c>
    </row>
    <row r="78" spans="1:5" x14ac:dyDescent="0.2">
      <c r="A78" s="1">
        <v>46278</v>
      </c>
    </row>
    <row r="79" spans="1:5" x14ac:dyDescent="0.2">
      <c r="A79" s="1">
        <v>46279</v>
      </c>
    </row>
    <row r="80" spans="1:5" x14ac:dyDescent="0.2">
      <c r="A80" s="1">
        <v>46280</v>
      </c>
    </row>
    <row r="81" spans="1:1" x14ac:dyDescent="0.2">
      <c r="A81" s="1">
        <v>46281</v>
      </c>
    </row>
    <row r="82" spans="1:1" x14ac:dyDescent="0.2">
      <c r="A82" s="1">
        <v>46282</v>
      </c>
    </row>
    <row r="83" spans="1:1" x14ac:dyDescent="0.2">
      <c r="A83" s="1">
        <v>46283</v>
      </c>
    </row>
    <row r="84" spans="1:1" x14ac:dyDescent="0.2">
      <c r="A84" s="1">
        <v>46284</v>
      </c>
    </row>
    <row r="85" spans="1:1" x14ac:dyDescent="0.2">
      <c r="A85" s="1">
        <v>46285</v>
      </c>
    </row>
    <row r="86" spans="1:1" x14ac:dyDescent="0.2">
      <c r="A86" s="1">
        <v>46286</v>
      </c>
    </row>
    <row r="87" spans="1:1" x14ac:dyDescent="0.2">
      <c r="A87" s="1">
        <v>46287</v>
      </c>
    </row>
    <row r="88" spans="1:1" x14ac:dyDescent="0.2">
      <c r="A88" s="1">
        <v>46288</v>
      </c>
    </row>
    <row r="89" spans="1:1" x14ac:dyDescent="0.2">
      <c r="A89" s="1">
        <v>46289</v>
      </c>
    </row>
    <row r="90" spans="1:1" x14ac:dyDescent="0.2">
      <c r="A90" s="1">
        <v>46290</v>
      </c>
    </row>
    <row r="91" spans="1:1" x14ac:dyDescent="0.2">
      <c r="A91" s="1">
        <v>46291</v>
      </c>
    </row>
    <row r="92" spans="1:1" x14ac:dyDescent="0.2">
      <c r="A92" s="1">
        <v>46292</v>
      </c>
    </row>
    <row r="93" spans="1:1" x14ac:dyDescent="0.2">
      <c r="A93" s="1">
        <v>46293</v>
      </c>
    </row>
    <row r="94" spans="1:1" x14ac:dyDescent="0.2">
      <c r="A94" s="1">
        <v>46294</v>
      </c>
    </row>
    <row r="95" spans="1:1" x14ac:dyDescent="0.2">
      <c r="A95" s="1">
        <v>46295</v>
      </c>
    </row>
    <row r="96" spans="1:1" x14ac:dyDescent="0.2">
      <c r="A96" s="1">
        <v>46296</v>
      </c>
    </row>
    <row r="97" spans="1:1" x14ac:dyDescent="0.2">
      <c r="A97" s="1">
        <v>46297</v>
      </c>
    </row>
    <row r="98" spans="1:1" x14ac:dyDescent="0.2">
      <c r="A98" s="1">
        <v>46298</v>
      </c>
    </row>
    <row r="99" spans="1:1" x14ac:dyDescent="0.2">
      <c r="A99" s="1">
        <v>46299</v>
      </c>
    </row>
    <row r="100" spans="1:1" x14ac:dyDescent="0.2">
      <c r="A100" s="1">
        <v>46300</v>
      </c>
    </row>
    <row r="101" spans="1:1" x14ac:dyDescent="0.2">
      <c r="A101" s="1">
        <v>46301</v>
      </c>
    </row>
    <row r="102" spans="1:1" x14ac:dyDescent="0.2">
      <c r="A102" s="1">
        <v>46302</v>
      </c>
    </row>
    <row r="103" spans="1:1" x14ac:dyDescent="0.2">
      <c r="A103" s="1">
        <v>46303</v>
      </c>
    </row>
    <row r="104" spans="1:1" x14ac:dyDescent="0.2">
      <c r="A104" s="1">
        <v>46304</v>
      </c>
    </row>
    <row r="105" spans="1:1" x14ac:dyDescent="0.2">
      <c r="A105" s="1">
        <v>46305</v>
      </c>
    </row>
    <row r="106" spans="1:1" x14ac:dyDescent="0.2">
      <c r="A106" s="1">
        <v>46306</v>
      </c>
    </row>
    <row r="107" spans="1:1" x14ac:dyDescent="0.2">
      <c r="A107" s="1">
        <v>46307</v>
      </c>
    </row>
    <row r="108" spans="1:1" x14ac:dyDescent="0.2">
      <c r="A108" s="1">
        <v>46308</v>
      </c>
    </row>
    <row r="109" spans="1:1" x14ac:dyDescent="0.2">
      <c r="A109" s="1">
        <v>46309</v>
      </c>
    </row>
    <row r="110" spans="1:1" x14ac:dyDescent="0.2">
      <c r="A110" s="1">
        <v>46310</v>
      </c>
    </row>
    <row r="111" spans="1:1" x14ac:dyDescent="0.2">
      <c r="A111" s="1">
        <v>46311</v>
      </c>
    </row>
    <row r="112" spans="1:1" x14ac:dyDescent="0.2">
      <c r="A112" s="1">
        <v>46312</v>
      </c>
    </row>
    <row r="113" spans="1:1" x14ac:dyDescent="0.2">
      <c r="A113" s="1">
        <v>46313</v>
      </c>
    </row>
    <row r="114" spans="1:1" x14ac:dyDescent="0.2">
      <c r="A114" s="1">
        <v>46314</v>
      </c>
    </row>
    <row r="115" spans="1:1" x14ac:dyDescent="0.2">
      <c r="A115" s="1">
        <v>46315</v>
      </c>
    </row>
    <row r="116" spans="1:1" x14ac:dyDescent="0.2">
      <c r="A116" s="1">
        <v>46316</v>
      </c>
    </row>
    <row r="117" spans="1:1" x14ac:dyDescent="0.2">
      <c r="A117" s="1">
        <v>46317</v>
      </c>
    </row>
    <row r="118" spans="1:1" x14ac:dyDescent="0.2">
      <c r="A118" s="1">
        <v>46318</v>
      </c>
    </row>
    <row r="119" spans="1:1" x14ac:dyDescent="0.2">
      <c r="A119" s="1">
        <v>46319</v>
      </c>
    </row>
    <row r="120" spans="1:1" x14ac:dyDescent="0.2">
      <c r="A120" s="1">
        <v>46320</v>
      </c>
    </row>
    <row r="121" spans="1:1" x14ac:dyDescent="0.2">
      <c r="A121" s="1">
        <v>46321</v>
      </c>
    </row>
    <row r="122" spans="1:1" x14ac:dyDescent="0.2">
      <c r="A122" s="1">
        <v>46322</v>
      </c>
    </row>
    <row r="123" spans="1:1" x14ac:dyDescent="0.2">
      <c r="A123" s="1">
        <v>46323</v>
      </c>
    </row>
    <row r="124" spans="1:1" x14ac:dyDescent="0.2">
      <c r="A124" s="1">
        <v>46324</v>
      </c>
    </row>
    <row r="125" spans="1:1" x14ac:dyDescent="0.2">
      <c r="A125" s="1">
        <v>46325</v>
      </c>
    </row>
    <row r="126" spans="1:1" x14ac:dyDescent="0.2">
      <c r="A126" s="1">
        <v>46326</v>
      </c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10151-AF96-E043-A8EC-B90C0603B041}">
  <dimension ref="A1:G17"/>
  <sheetViews>
    <sheetView zoomScaleNormal="100" zoomScaleSheetLayoutView="100" workbookViewId="0">
      <selection activeCell="D32" sqref="D32"/>
    </sheetView>
  </sheetViews>
  <sheetFormatPr defaultRowHeight="15" x14ac:dyDescent="0.2"/>
  <cols>
    <col min="1" max="1" width="12.5078125" customWidth="1"/>
  </cols>
  <sheetData>
    <row r="1" spans="1:7" x14ac:dyDescent="0.2">
      <c r="A1" t="s">
        <v>13</v>
      </c>
      <c r="B1" t="s">
        <v>15</v>
      </c>
      <c r="C1" t="s">
        <v>18</v>
      </c>
      <c r="D1" t="s">
        <v>16</v>
      </c>
      <c r="G1" t="s">
        <v>14</v>
      </c>
    </row>
    <row r="2" spans="1:7" x14ac:dyDescent="0.2">
      <c r="A2" t="s">
        <v>17</v>
      </c>
      <c r="B2">
        <f ca="1">SUM(INDEX('Day tracker'!B:B,(ROW()-ROW($B$2))*7+2): INDEX('Day tracker'!B:B,(ROW()-ROW($B$2))*7+8))</f>
        <v>12183</v>
      </c>
      <c r="C2">
        <f ca="1">SUM(INDEX('Day tracker'!E:E,(ROW()-ROW($C$2))*7+2): INDEX('Day tracker'!E:E,(ROW()-ROW($C$2))*7+8))</f>
        <v>-4775</v>
      </c>
      <c r="D2" t="str">
        <f ca="1">IF(C2&lt;$G$2,"Yes",IF(C2=0,"","No"))</f>
        <v>Yes</v>
      </c>
      <c r="G2">
        <v>-3850</v>
      </c>
    </row>
    <row r="3" spans="1:7" x14ac:dyDescent="0.2">
      <c r="A3" t="s">
        <v>41</v>
      </c>
      <c r="B3">
        <f ca="1">SUM(INDEX('Day tracker'!B:B,(ROW()-ROW($B$2))*7+2): INDEX('Day tracker'!B:B,(ROW()-ROW($B$2))*7+8))</f>
        <v>15920</v>
      </c>
      <c r="C3">
        <f ca="1">SUM(INDEX('Day tracker'!E:E,(ROW()-ROW($C$2))*7+2): INDEX('Day tracker'!E:E,(ROW()-ROW($C$2))*7+8))</f>
        <v>-325</v>
      </c>
      <c r="D3" t="str">
        <f t="shared" ref="D3:D17" ca="1" si="0">IF(C3&lt;$G$2,"Yes",IF(C3=0,"","No"))</f>
        <v>No</v>
      </c>
    </row>
    <row r="4" spans="1:7" x14ac:dyDescent="0.2">
      <c r="A4" t="s">
        <v>77</v>
      </c>
      <c r="B4">
        <f ca="1">SUM(INDEX('Day tracker'!B:B,(ROW()-ROW($B$2))*7+2): INDEX('Day tracker'!B:B,(ROW()-ROW($B$2))*7+8))</f>
        <v>13148</v>
      </c>
      <c r="C4">
        <f ca="1">SUM(INDEX('Day tracker'!E:E,(ROW()-ROW($C$2))*7+2): INDEX('Day tracker'!E:E,(ROW()-ROW($C$2))*7+8))</f>
        <v>-3851</v>
      </c>
      <c r="D4" t="str">
        <f t="shared" ca="1" si="0"/>
        <v>Yes</v>
      </c>
      <c r="G4" t="s">
        <v>23</v>
      </c>
    </row>
    <row r="5" spans="1:7" x14ac:dyDescent="0.2">
      <c r="A5" t="s">
        <v>80</v>
      </c>
      <c r="B5">
        <f ca="1">SUM(INDEX('Day tracker'!B:B,(ROW()-ROW($B$2))*7+2): INDEX('Day tracker'!B:B,(ROW()-ROW($B$2))*7+8))</f>
        <v>11710</v>
      </c>
      <c r="C5">
        <f ca="1">SUM(INDEX('Day tracker'!E:E,(ROW()-ROW($C$2))*7+2): INDEX('Day tracker'!E:E,(ROW()-ROW($C$2))*7+8))</f>
        <v>-4838</v>
      </c>
      <c r="D5" t="str">
        <f t="shared" ca="1" si="0"/>
        <v>Yes</v>
      </c>
      <c r="G5" s="3">
        <f ca="1">(SUM('Day tracker'!E:E)*(1/7.7))/1000</f>
        <v>-2.008311688311688</v>
      </c>
    </row>
    <row r="6" spans="1:7" x14ac:dyDescent="0.2">
      <c r="A6" t="s">
        <v>81</v>
      </c>
      <c r="B6">
        <f ca="1">SUM(INDEX('Day tracker'!B:B,(ROW()-ROW($B$2))*7+2): INDEX('Day tracker'!B:B,(ROW()-ROW($B$2))*7+8))</f>
        <v>125</v>
      </c>
      <c r="C6">
        <f ca="1">SUM(INDEX('Day tracker'!E:E,(ROW()-ROW($C$2))*7+2): INDEX('Day tracker'!E:E,(ROW()-ROW($C$2))*7+8))</f>
        <v>-1675</v>
      </c>
      <c r="D6" t="str">
        <f t="shared" ca="1" si="0"/>
        <v>No</v>
      </c>
    </row>
    <row r="7" spans="1:7" x14ac:dyDescent="0.2">
      <c r="A7" t="s">
        <v>82</v>
      </c>
      <c r="B7">
        <f ca="1">SUM(INDEX('Day tracker'!B:B,(ROW()-ROW($B$2))*7+2): INDEX('Day tracker'!B:B,(ROW()-ROW($B$2))*7+8))</f>
        <v>0</v>
      </c>
      <c r="C7">
        <f ca="1">SUM(INDEX('Day tracker'!E:E,(ROW()-ROW($C$2))*7+2): INDEX('Day tracker'!E:E,(ROW()-ROW($C$2))*7+8))</f>
        <v>0</v>
      </c>
      <c r="D7" t="str">
        <f t="shared" ca="1" si="0"/>
        <v/>
      </c>
    </row>
    <row r="8" spans="1:7" x14ac:dyDescent="0.2">
      <c r="A8" t="s">
        <v>83</v>
      </c>
      <c r="B8">
        <f ca="1">SUM(INDEX('Day tracker'!B:B,(ROW()-ROW($B$2))*7+2): INDEX('Day tracker'!B:B,(ROW()-ROW($B$2))*7+8))</f>
        <v>0</v>
      </c>
      <c r="C8">
        <f ca="1">SUM(INDEX('Day tracker'!E:E,(ROW()-ROW($C$2))*7+2): INDEX('Day tracker'!E:E,(ROW()-ROW($C$2))*7+8))</f>
        <v>0</v>
      </c>
      <c r="D8" t="str">
        <f t="shared" ca="1" si="0"/>
        <v/>
      </c>
    </row>
    <row r="9" spans="1:7" x14ac:dyDescent="0.2">
      <c r="A9" t="s">
        <v>84</v>
      </c>
      <c r="B9">
        <f ca="1">SUM(INDEX('Day tracker'!B:B,(ROW()-ROW($B$2))*7+2): INDEX('Day tracker'!B:B,(ROW()-ROW($B$2))*7+8))</f>
        <v>0</v>
      </c>
      <c r="C9">
        <f ca="1">SUM(INDEX('Day tracker'!E:E,(ROW()-ROW($C$2))*7+2): INDEX('Day tracker'!E:E,(ROW()-ROW($C$2))*7+8))</f>
        <v>0</v>
      </c>
      <c r="D9" t="str">
        <f t="shared" ca="1" si="0"/>
        <v/>
      </c>
    </row>
    <row r="10" spans="1:7" x14ac:dyDescent="0.2">
      <c r="A10" t="s">
        <v>85</v>
      </c>
      <c r="B10">
        <f ca="1">SUM(INDEX('Day tracker'!B:B,(ROW()-ROW($B$2))*7+2): INDEX('Day tracker'!B:B,(ROW()-ROW($B$2))*7+8))</f>
        <v>0</v>
      </c>
      <c r="C10">
        <f ca="1">SUM(INDEX('Day tracker'!E:E,(ROW()-ROW($C$2))*7+2): INDEX('Day tracker'!E:E,(ROW()-ROW($C$2))*7+8))</f>
        <v>0</v>
      </c>
      <c r="D10" t="str">
        <f t="shared" ca="1" si="0"/>
        <v/>
      </c>
    </row>
    <row r="11" spans="1:7" x14ac:dyDescent="0.2">
      <c r="A11" t="s">
        <v>86</v>
      </c>
      <c r="B11">
        <f ca="1">SUM(INDEX('Day tracker'!B:B,(ROW()-ROW($B$2))*7+2): INDEX('Day tracker'!B:B,(ROW()-ROW($B$2))*7+8))</f>
        <v>0</v>
      </c>
      <c r="C11">
        <f ca="1">SUM(INDEX('Day tracker'!E:E,(ROW()-ROW($C$2))*7+2): INDEX('Day tracker'!E:E,(ROW()-ROW($C$2))*7+8))</f>
        <v>0</v>
      </c>
      <c r="D11" t="str">
        <f t="shared" ca="1" si="0"/>
        <v/>
      </c>
    </row>
    <row r="12" spans="1:7" x14ac:dyDescent="0.2">
      <c r="A12" t="s">
        <v>87</v>
      </c>
      <c r="B12">
        <f ca="1">SUM(INDEX('Day tracker'!B:B,(ROW()-ROW($B$2))*7+2): INDEX('Day tracker'!B:B,(ROW()-ROW($B$2))*7+8))</f>
        <v>0</v>
      </c>
      <c r="C12">
        <f ca="1">SUM(INDEX('Day tracker'!E:E,(ROW()-ROW($C$2))*7+2): INDEX('Day tracker'!E:E,(ROW()-ROW($C$2))*7+8))</f>
        <v>0</v>
      </c>
      <c r="D12" t="str">
        <f t="shared" ca="1" si="0"/>
        <v/>
      </c>
    </row>
    <row r="13" spans="1:7" x14ac:dyDescent="0.2">
      <c r="A13" t="s">
        <v>88</v>
      </c>
      <c r="B13">
        <f ca="1">SUM(INDEX('Day tracker'!B:B,(ROW()-ROW($B$2))*7+2): INDEX('Day tracker'!B:B,(ROW()-ROW($B$2))*7+8))</f>
        <v>0</v>
      </c>
      <c r="C13">
        <f ca="1">SUM(INDEX('Day tracker'!E:E,(ROW()-ROW($C$2))*7+2): INDEX('Day tracker'!E:E,(ROW()-ROW($C$2))*7+8))</f>
        <v>0</v>
      </c>
      <c r="D13" t="str">
        <f t="shared" ca="1" si="0"/>
        <v/>
      </c>
    </row>
    <row r="14" spans="1:7" x14ac:dyDescent="0.2">
      <c r="A14" t="s">
        <v>89</v>
      </c>
      <c r="B14">
        <f ca="1">SUM(INDEX('Day tracker'!B:B,(ROW()-ROW($B$2))*7+2): INDEX('Day tracker'!B:B,(ROW()-ROW($B$2))*7+8))</f>
        <v>0</v>
      </c>
      <c r="C14">
        <f ca="1">SUM(INDEX('Day tracker'!E:E,(ROW()-ROW($C$2))*7+2): INDEX('Day tracker'!E:E,(ROW()-ROW($C$2))*7+8))</f>
        <v>0</v>
      </c>
      <c r="D14" t="str">
        <f t="shared" ca="1" si="0"/>
        <v/>
      </c>
    </row>
    <row r="15" spans="1:7" x14ac:dyDescent="0.2">
      <c r="A15" t="s">
        <v>90</v>
      </c>
      <c r="B15">
        <f ca="1">SUM(INDEX('Day tracker'!B:B,(ROW()-ROW($B$2))*7+2): INDEX('Day tracker'!B:B,(ROW()-ROW($B$2))*7+8))</f>
        <v>0</v>
      </c>
      <c r="C15">
        <f ca="1">SUM(INDEX('Day tracker'!E:E,(ROW()-ROW($C$2))*7+2): INDEX('Day tracker'!E:E,(ROW()-ROW($C$2))*7+8))</f>
        <v>0</v>
      </c>
      <c r="D15" t="str">
        <f t="shared" ca="1" si="0"/>
        <v/>
      </c>
    </row>
    <row r="16" spans="1:7" x14ac:dyDescent="0.2">
      <c r="A16" t="s">
        <v>91</v>
      </c>
      <c r="B16">
        <f ca="1">SUM(INDEX('Day tracker'!B:B,(ROW()-ROW($B$2))*7+2): INDEX('Day tracker'!B:B,(ROW()-ROW($B$2))*7+8))</f>
        <v>0</v>
      </c>
      <c r="C16">
        <f ca="1">SUM(INDEX('Day tracker'!E:E,(ROW()-ROW($C$2))*7+2): INDEX('Day tracker'!E:E,(ROW()-ROW($C$2))*7+8))</f>
        <v>0</v>
      </c>
      <c r="D16" t="str">
        <f t="shared" ca="1" si="0"/>
        <v/>
      </c>
    </row>
    <row r="17" spans="1:4" x14ac:dyDescent="0.2">
      <c r="A17" t="s">
        <v>92</v>
      </c>
      <c r="B17">
        <f ca="1">SUM(INDEX('Day tracker'!B:B,(ROW()-ROW($B$2))*7+2): INDEX('Day tracker'!B:B,(ROW()-ROW($B$2))*7+8))</f>
        <v>0</v>
      </c>
      <c r="C17">
        <f ca="1">SUM(INDEX('Day tracker'!E:E,(ROW()-ROW($C$2))*7+2): INDEX('Day tracker'!E:E,(ROW()-ROW($C$2))*7+8))</f>
        <v>0</v>
      </c>
      <c r="D17" t="str">
        <f t="shared" ca="1" si="0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3288B-3A3C-D44B-A1F7-94ABEBF35150}">
  <dimension ref="A1:B126"/>
  <sheetViews>
    <sheetView zoomScaleNormal="100" zoomScaleSheetLayoutView="100" workbookViewId="0">
      <selection activeCell="E22" sqref="E22"/>
    </sheetView>
  </sheetViews>
  <sheetFormatPr defaultRowHeight="15" x14ac:dyDescent="0.2"/>
  <cols>
    <col min="1" max="1" width="10.4921875" style="4" customWidth="1"/>
    <col min="2" max="2" width="8.609375" style="5" customWidth="1"/>
  </cols>
  <sheetData>
    <row r="1" spans="1:2" x14ac:dyDescent="0.2">
      <c r="A1" s="4" t="str" cm="1">
        <f t="array" ref="A1:A126">'Day tracker'!A1:A126</f>
        <v>Day</v>
      </c>
      <c r="B1" s="5" t="str" cm="1">
        <f t="array" ref="B1:B126">_xlfn.MAP('Day tracker'!F1:F126, _xlfn.LAMBDA(_xlpm.cell, IF(OR(_xlpm.cell="", _xlpm.cell="N/A", ISNA(_xlpm.cell)), NA(), _xlpm.cell)))</f>
        <v>Weight in</v>
      </c>
    </row>
    <row r="2" spans="1:2" x14ac:dyDescent="0.2">
      <c r="A2" s="4">
        <v>46202</v>
      </c>
      <c r="B2" s="5">
        <v>75.900000000000006</v>
      </c>
    </row>
    <row r="3" spans="1:2" x14ac:dyDescent="0.2">
      <c r="A3" s="4">
        <v>46203</v>
      </c>
      <c r="B3" s="5">
        <v>75.400000000000006</v>
      </c>
    </row>
    <row r="4" spans="1:2" x14ac:dyDescent="0.2">
      <c r="A4" s="4">
        <v>46204</v>
      </c>
      <c r="B4" s="5">
        <v>75.400000000000006</v>
      </c>
    </row>
    <row r="5" spans="1:2" x14ac:dyDescent="0.2">
      <c r="A5" s="4">
        <v>46205</v>
      </c>
      <c r="B5" s="5">
        <v>75.8</v>
      </c>
    </row>
    <row r="6" spans="1:2" x14ac:dyDescent="0.2">
      <c r="A6" s="4">
        <v>46206</v>
      </c>
      <c r="B6" s="5">
        <v>75.8</v>
      </c>
    </row>
    <row r="7" spans="1:2" x14ac:dyDescent="0.2">
      <c r="A7" s="4">
        <v>46207</v>
      </c>
      <c r="B7" s="5">
        <v>75.599999999999994</v>
      </c>
    </row>
    <row r="8" spans="1:2" x14ac:dyDescent="0.2">
      <c r="A8" s="4">
        <v>46208</v>
      </c>
      <c r="B8" s="5">
        <v>75.900000000000006</v>
      </c>
    </row>
    <row r="9" spans="1:2" x14ac:dyDescent="0.2">
      <c r="A9" s="4">
        <v>46209</v>
      </c>
      <c r="B9" s="5">
        <v>75.2</v>
      </c>
    </row>
    <row r="10" spans="1:2" x14ac:dyDescent="0.2">
      <c r="A10" s="4">
        <v>46210</v>
      </c>
      <c r="B10" s="5">
        <v>74.7</v>
      </c>
    </row>
    <row r="11" spans="1:2" x14ac:dyDescent="0.2">
      <c r="A11" s="4">
        <v>46211</v>
      </c>
      <c r="B11" s="5">
        <v>73.7</v>
      </c>
    </row>
    <row r="12" spans="1:2" x14ac:dyDescent="0.2">
      <c r="A12" s="4">
        <v>46212</v>
      </c>
      <c r="B12" s="5">
        <v>74</v>
      </c>
    </row>
    <row r="13" spans="1:2" x14ac:dyDescent="0.2">
      <c r="A13" s="4">
        <v>46213</v>
      </c>
      <c r="B13" s="5" t="e">
        <v>#N/A</v>
      </c>
    </row>
    <row r="14" spans="1:2" x14ac:dyDescent="0.2">
      <c r="A14" s="4">
        <v>46214</v>
      </c>
      <c r="B14" s="5" t="e">
        <v>#N/A</v>
      </c>
    </row>
    <row r="15" spans="1:2" x14ac:dyDescent="0.2">
      <c r="A15" s="4">
        <v>46215</v>
      </c>
      <c r="B15" s="5" t="e">
        <v>#N/A</v>
      </c>
    </row>
    <row r="16" spans="1:2" x14ac:dyDescent="0.2">
      <c r="A16" s="4">
        <v>46216</v>
      </c>
      <c r="B16" s="5" t="e">
        <v>#N/A</v>
      </c>
    </row>
    <row r="17" spans="1:2" x14ac:dyDescent="0.2">
      <c r="A17" s="4">
        <v>46217</v>
      </c>
      <c r="B17" s="5">
        <v>77.3</v>
      </c>
    </row>
    <row r="18" spans="1:2" x14ac:dyDescent="0.2">
      <c r="A18" s="4">
        <v>46218</v>
      </c>
      <c r="B18" s="5">
        <v>76</v>
      </c>
    </row>
    <row r="19" spans="1:2" x14ac:dyDescent="0.2">
      <c r="A19" s="4">
        <v>46219</v>
      </c>
      <c r="B19" s="5">
        <v>74.400000000000006</v>
      </c>
    </row>
    <row r="20" spans="1:2" x14ac:dyDescent="0.2">
      <c r="A20" s="4">
        <v>46220</v>
      </c>
      <c r="B20" s="5">
        <v>73.599999999999994</v>
      </c>
    </row>
    <row r="21" spans="1:2" x14ac:dyDescent="0.2">
      <c r="A21" s="4">
        <v>46221</v>
      </c>
      <c r="B21" s="5">
        <v>74.599999999999994</v>
      </c>
    </row>
    <row r="22" spans="1:2" x14ac:dyDescent="0.2">
      <c r="A22" s="4">
        <v>46222</v>
      </c>
      <c r="B22" s="5">
        <v>73.900000000000006</v>
      </c>
    </row>
    <row r="23" spans="1:2" x14ac:dyDescent="0.2">
      <c r="A23" s="4">
        <v>46223</v>
      </c>
      <c r="B23" s="5">
        <v>73.7</v>
      </c>
    </row>
    <row r="24" spans="1:2" x14ac:dyDescent="0.2">
      <c r="A24" s="4">
        <v>46224</v>
      </c>
      <c r="B24" s="5">
        <v>73.099999999999994</v>
      </c>
    </row>
    <row r="25" spans="1:2" x14ac:dyDescent="0.2">
      <c r="A25" s="4">
        <v>46225</v>
      </c>
      <c r="B25" s="5">
        <v>71.5</v>
      </c>
    </row>
    <row r="26" spans="1:2" x14ac:dyDescent="0.2">
      <c r="A26" s="4">
        <v>46226</v>
      </c>
      <c r="B26" s="5">
        <v>72.900000000000006</v>
      </c>
    </row>
    <row r="27" spans="1:2" x14ac:dyDescent="0.2">
      <c r="A27" s="4">
        <v>46227</v>
      </c>
      <c r="B27" s="5">
        <v>72.400000000000006</v>
      </c>
    </row>
    <row r="28" spans="1:2" x14ac:dyDescent="0.2">
      <c r="A28" s="4">
        <v>46228</v>
      </c>
      <c r="B28" s="5">
        <v>73.3</v>
      </c>
    </row>
    <row r="29" spans="1:2" x14ac:dyDescent="0.2">
      <c r="A29" s="4">
        <v>46229</v>
      </c>
      <c r="B29" s="5">
        <v>73.5</v>
      </c>
    </row>
    <row r="30" spans="1:2" x14ac:dyDescent="0.2">
      <c r="A30" s="4">
        <v>46230</v>
      </c>
      <c r="B30" s="5" t="e">
        <v>#N/A</v>
      </c>
    </row>
    <row r="31" spans="1:2" x14ac:dyDescent="0.2">
      <c r="A31" s="4">
        <v>46231</v>
      </c>
      <c r="B31" s="5" t="e">
        <v>#N/A</v>
      </c>
    </row>
    <row r="32" spans="1:2" x14ac:dyDescent="0.2">
      <c r="A32" s="4">
        <v>46232</v>
      </c>
      <c r="B32" s="5" t="e">
        <v>#N/A</v>
      </c>
    </row>
    <row r="33" spans="1:2" x14ac:dyDescent="0.2">
      <c r="A33" s="4">
        <v>46233</v>
      </c>
      <c r="B33" s="5" t="e">
        <v>#N/A</v>
      </c>
    </row>
    <row r="34" spans="1:2" x14ac:dyDescent="0.2">
      <c r="A34" s="4">
        <v>46234</v>
      </c>
      <c r="B34" s="5" t="e">
        <v>#N/A</v>
      </c>
    </row>
    <row r="35" spans="1:2" x14ac:dyDescent="0.2">
      <c r="A35" s="4">
        <v>46235</v>
      </c>
      <c r="B35" s="5" t="e">
        <v>#N/A</v>
      </c>
    </row>
    <row r="36" spans="1:2" x14ac:dyDescent="0.2">
      <c r="A36" s="4">
        <v>46236</v>
      </c>
      <c r="B36" s="5" t="e">
        <v>#N/A</v>
      </c>
    </row>
    <row r="37" spans="1:2" x14ac:dyDescent="0.2">
      <c r="A37" s="4">
        <v>46237</v>
      </c>
      <c r="B37" s="5" t="e">
        <v>#N/A</v>
      </c>
    </row>
    <row r="38" spans="1:2" x14ac:dyDescent="0.2">
      <c r="A38" s="4">
        <v>46238</v>
      </c>
      <c r="B38" s="5" t="e">
        <v>#N/A</v>
      </c>
    </row>
    <row r="39" spans="1:2" x14ac:dyDescent="0.2">
      <c r="A39" s="4">
        <v>46239</v>
      </c>
      <c r="B39" s="5" t="e">
        <v>#N/A</v>
      </c>
    </row>
    <row r="40" spans="1:2" x14ac:dyDescent="0.2">
      <c r="A40" s="4">
        <v>46240</v>
      </c>
      <c r="B40" s="5" t="e">
        <v>#N/A</v>
      </c>
    </row>
    <row r="41" spans="1:2" x14ac:dyDescent="0.2">
      <c r="A41" s="4">
        <v>46241</v>
      </c>
      <c r="B41" s="5" t="e">
        <v>#N/A</v>
      </c>
    </row>
    <row r="42" spans="1:2" x14ac:dyDescent="0.2">
      <c r="A42" s="4">
        <v>46242</v>
      </c>
      <c r="B42" s="5" t="e">
        <v>#N/A</v>
      </c>
    </row>
    <row r="43" spans="1:2" x14ac:dyDescent="0.2">
      <c r="A43" s="4">
        <v>46243</v>
      </c>
      <c r="B43" s="5" t="e">
        <v>#N/A</v>
      </c>
    </row>
    <row r="44" spans="1:2" x14ac:dyDescent="0.2">
      <c r="A44" s="4">
        <v>46244</v>
      </c>
      <c r="B44" s="5" t="e">
        <v>#N/A</v>
      </c>
    </row>
    <row r="45" spans="1:2" x14ac:dyDescent="0.2">
      <c r="A45" s="4">
        <v>46245</v>
      </c>
      <c r="B45" s="5" t="e">
        <v>#N/A</v>
      </c>
    </row>
    <row r="46" spans="1:2" x14ac:dyDescent="0.2">
      <c r="A46" s="4">
        <v>46246</v>
      </c>
      <c r="B46" s="5" t="e">
        <v>#N/A</v>
      </c>
    </row>
    <row r="47" spans="1:2" x14ac:dyDescent="0.2">
      <c r="A47" s="4">
        <v>46247</v>
      </c>
      <c r="B47" s="5" t="e">
        <v>#N/A</v>
      </c>
    </row>
    <row r="48" spans="1:2" x14ac:dyDescent="0.2">
      <c r="A48" s="4">
        <v>46248</v>
      </c>
      <c r="B48" s="5" t="e">
        <v>#N/A</v>
      </c>
    </row>
    <row r="49" spans="1:2" x14ac:dyDescent="0.2">
      <c r="A49" s="4">
        <v>46249</v>
      </c>
      <c r="B49" s="5" t="e">
        <v>#N/A</v>
      </c>
    </row>
    <row r="50" spans="1:2" x14ac:dyDescent="0.2">
      <c r="A50" s="4">
        <v>46250</v>
      </c>
      <c r="B50" s="5" t="e">
        <v>#N/A</v>
      </c>
    </row>
    <row r="51" spans="1:2" x14ac:dyDescent="0.2">
      <c r="A51" s="4">
        <v>46251</v>
      </c>
      <c r="B51" s="5" t="e">
        <v>#N/A</v>
      </c>
    </row>
    <row r="52" spans="1:2" x14ac:dyDescent="0.2">
      <c r="A52" s="4">
        <v>46252</v>
      </c>
      <c r="B52" s="5" t="e">
        <v>#N/A</v>
      </c>
    </row>
    <row r="53" spans="1:2" x14ac:dyDescent="0.2">
      <c r="A53" s="4">
        <v>46253</v>
      </c>
      <c r="B53" s="5" t="e">
        <v>#N/A</v>
      </c>
    </row>
    <row r="54" spans="1:2" x14ac:dyDescent="0.2">
      <c r="A54" s="4">
        <v>46254</v>
      </c>
      <c r="B54" s="5" t="e">
        <v>#N/A</v>
      </c>
    </row>
    <row r="55" spans="1:2" x14ac:dyDescent="0.2">
      <c r="A55" s="4">
        <v>46255</v>
      </c>
      <c r="B55" s="5" t="e">
        <v>#N/A</v>
      </c>
    </row>
    <row r="56" spans="1:2" x14ac:dyDescent="0.2">
      <c r="A56" s="4">
        <v>46256</v>
      </c>
      <c r="B56" s="5" t="e">
        <v>#N/A</v>
      </c>
    </row>
    <row r="57" spans="1:2" x14ac:dyDescent="0.2">
      <c r="A57" s="4">
        <v>46257</v>
      </c>
      <c r="B57" s="5" t="e">
        <v>#N/A</v>
      </c>
    </row>
    <row r="58" spans="1:2" x14ac:dyDescent="0.2">
      <c r="A58" s="4">
        <v>46258</v>
      </c>
      <c r="B58" s="5" t="e">
        <v>#N/A</v>
      </c>
    </row>
    <row r="59" spans="1:2" x14ac:dyDescent="0.2">
      <c r="A59" s="4">
        <v>46259</v>
      </c>
      <c r="B59" s="5" t="e">
        <v>#N/A</v>
      </c>
    </row>
    <row r="60" spans="1:2" x14ac:dyDescent="0.2">
      <c r="A60" s="4">
        <v>46260</v>
      </c>
      <c r="B60" s="5" t="e">
        <v>#N/A</v>
      </c>
    </row>
    <row r="61" spans="1:2" x14ac:dyDescent="0.2">
      <c r="A61" s="4">
        <v>46261</v>
      </c>
      <c r="B61" s="5" t="e">
        <v>#N/A</v>
      </c>
    </row>
    <row r="62" spans="1:2" x14ac:dyDescent="0.2">
      <c r="A62" s="4">
        <v>46262</v>
      </c>
      <c r="B62" s="5" t="e">
        <v>#N/A</v>
      </c>
    </row>
    <row r="63" spans="1:2" x14ac:dyDescent="0.2">
      <c r="A63" s="4">
        <v>46263</v>
      </c>
      <c r="B63" s="5" t="e">
        <v>#N/A</v>
      </c>
    </row>
    <row r="64" spans="1:2" x14ac:dyDescent="0.2">
      <c r="A64" s="4">
        <v>46264</v>
      </c>
      <c r="B64" s="5" t="e">
        <v>#N/A</v>
      </c>
    </row>
    <row r="65" spans="1:2" x14ac:dyDescent="0.2">
      <c r="A65" s="4">
        <v>46265</v>
      </c>
      <c r="B65" s="5" t="e">
        <v>#N/A</v>
      </c>
    </row>
    <row r="66" spans="1:2" x14ac:dyDescent="0.2">
      <c r="A66" s="4">
        <v>46266</v>
      </c>
      <c r="B66" s="5" t="e">
        <v>#N/A</v>
      </c>
    </row>
    <row r="67" spans="1:2" x14ac:dyDescent="0.2">
      <c r="A67" s="4">
        <v>46267</v>
      </c>
      <c r="B67" s="5" t="e">
        <v>#N/A</v>
      </c>
    </row>
    <row r="68" spans="1:2" x14ac:dyDescent="0.2">
      <c r="A68" s="4">
        <v>46268</v>
      </c>
      <c r="B68" s="5" t="e">
        <v>#N/A</v>
      </c>
    </row>
    <row r="69" spans="1:2" x14ac:dyDescent="0.2">
      <c r="A69" s="4">
        <v>46269</v>
      </c>
      <c r="B69" s="5" t="e">
        <v>#N/A</v>
      </c>
    </row>
    <row r="70" spans="1:2" x14ac:dyDescent="0.2">
      <c r="A70" s="4">
        <v>46270</v>
      </c>
      <c r="B70" s="5" t="e">
        <v>#N/A</v>
      </c>
    </row>
    <row r="71" spans="1:2" x14ac:dyDescent="0.2">
      <c r="A71" s="4">
        <v>46271</v>
      </c>
      <c r="B71" s="5" t="e">
        <v>#N/A</v>
      </c>
    </row>
    <row r="72" spans="1:2" x14ac:dyDescent="0.2">
      <c r="A72" s="4">
        <v>46272</v>
      </c>
      <c r="B72" s="5" t="e">
        <v>#N/A</v>
      </c>
    </row>
    <row r="73" spans="1:2" x14ac:dyDescent="0.2">
      <c r="A73" s="4">
        <v>46273</v>
      </c>
      <c r="B73" s="5" t="e">
        <v>#N/A</v>
      </c>
    </row>
    <row r="74" spans="1:2" x14ac:dyDescent="0.2">
      <c r="A74" s="4">
        <v>46274</v>
      </c>
      <c r="B74" s="5" t="e">
        <v>#N/A</v>
      </c>
    </row>
    <row r="75" spans="1:2" x14ac:dyDescent="0.2">
      <c r="A75" s="4">
        <v>46275</v>
      </c>
      <c r="B75" s="5" t="e">
        <v>#N/A</v>
      </c>
    </row>
    <row r="76" spans="1:2" x14ac:dyDescent="0.2">
      <c r="A76" s="4">
        <v>46276</v>
      </c>
      <c r="B76" s="5" t="e">
        <v>#N/A</v>
      </c>
    </row>
    <row r="77" spans="1:2" x14ac:dyDescent="0.2">
      <c r="A77" s="4">
        <v>46277</v>
      </c>
      <c r="B77" s="5" t="e">
        <v>#N/A</v>
      </c>
    </row>
    <row r="78" spans="1:2" x14ac:dyDescent="0.2">
      <c r="A78" s="4">
        <v>46278</v>
      </c>
      <c r="B78" s="5" t="e">
        <v>#N/A</v>
      </c>
    </row>
    <row r="79" spans="1:2" x14ac:dyDescent="0.2">
      <c r="A79" s="4">
        <v>46279</v>
      </c>
      <c r="B79" s="5" t="e">
        <v>#N/A</v>
      </c>
    </row>
    <row r="80" spans="1:2" x14ac:dyDescent="0.2">
      <c r="A80" s="4">
        <v>46280</v>
      </c>
      <c r="B80" s="5" t="e">
        <v>#N/A</v>
      </c>
    </row>
    <row r="81" spans="1:2" x14ac:dyDescent="0.2">
      <c r="A81" s="4">
        <v>46281</v>
      </c>
      <c r="B81" s="5" t="e">
        <v>#N/A</v>
      </c>
    </row>
    <row r="82" spans="1:2" x14ac:dyDescent="0.2">
      <c r="A82" s="4">
        <v>46282</v>
      </c>
      <c r="B82" s="5" t="e">
        <v>#N/A</v>
      </c>
    </row>
    <row r="83" spans="1:2" x14ac:dyDescent="0.2">
      <c r="A83" s="4">
        <v>46283</v>
      </c>
      <c r="B83" s="5" t="e">
        <v>#N/A</v>
      </c>
    </row>
    <row r="84" spans="1:2" x14ac:dyDescent="0.2">
      <c r="A84" s="4">
        <v>46284</v>
      </c>
      <c r="B84" s="5" t="e">
        <v>#N/A</v>
      </c>
    </row>
    <row r="85" spans="1:2" x14ac:dyDescent="0.2">
      <c r="A85" s="4">
        <v>46285</v>
      </c>
      <c r="B85" s="5" t="e">
        <v>#N/A</v>
      </c>
    </row>
    <row r="86" spans="1:2" x14ac:dyDescent="0.2">
      <c r="A86" s="4">
        <v>46286</v>
      </c>
      <c r="B86" s="5" t="e">
        <v>#N/A</v>
      </c>
    </row>
    <row r="87" spans="1:2" x14ac:dyDescent="0.2">
      <c r="A87" s="4">
        <v>46287</v>
      </c>
      <c r="B87" s="5" t="e">
        <v>#N/A</v>
      </c>
    </row>
    <row r="88" spans="1:2" x14ac:dyDescent="0.2">
      <c r="A88" s="4">
        <v>46288</v>
      </c>
      <c r="B88" s="5" t="e">
        <v>#N/A</v>
      </c>
    </row>
    <row r="89" spans="1:2" x14ac:dyDescent="0.2">
      <c r="A89" s="4">
        <v>46289</v>
      </c>
      <c r="B89" s="5" t="e">
        <v>#N/A</v>
      </c>
    </row>
    <row r="90" spans="1:2" x14ac:dyDescent="0.2">
      <c r="A90" s="4">
        <v>46290</v>
      </c>
      <c r="B90" s="5" t="e">
        <v>#N/A</v>
      </c>
    </row>
    <row r="91" spans="1:2" x14ac:dyDescent="0.2">
      <c r="A91" s="4">
        <v>46291</v>
      </c>
      <c r="B91" s="5" t="e">
        <v>#N/A</v>
      </c>
    </row>
    <row r="92" spans="1:2" x14ac:dyDescent="0.2">
      <c r="A92" s="4">
        <v>46292</v>
      </c>
      <c r="B92" s="5" t="e">
        <v>#N/A</v>
      </c>
    </row>
    <row r="93" spans="1:2" x14ac:dyDescent="0.2">
      <c r="A93" s="4">
        <v>46293</v>
      </c>
      <c r="B93" s="5" t="e">
        <v>#N/A</v>
      </c>
    </row>
    <row r="94" spans="1:2" x14ac:dyDescent="0.2">
      <c r="A94" s="4">
        <v>46294</v>
      </c>
      <c r="B94" s="5" t="e">
        <v>#N/A</v>
      </c>
    </row>
    <row r="95" spans="1:2" x14ac:dyDescent="0.2">
      <c r="A95" s="4">
        <v>46295</v>
      </c>
      <c r="B95" s="5" t="e">
        <v>#N/A</v>
      </c>
    </row>
    <row r="96" spans="1:2" x14ac:dyDescent="0.2">
      <c r="A96" s="4">
        <v>46296</v>
      </c>
      <c r="B96" s="5" t="e">
        <v>#N/A</v>
      </c>
    </row>
    <row r="97" spans="1:2" x14ac:dyDescent="0.2">
      <c r="A97" s="4">
        <v>46297</v>
      </c>
      <c r="B97" s="5" t="e">
        <v>#N/A</v>
      </c>
    </row>
    <row r="98" spans="1:2" x14ac:dyDescent="0.2">
      <c r="A98" s="4">
        <v>46298</v>
      </c>
      <c r="B98" s="5" t="e">
        <v>#N/A</v>
      </c>
    </row>
    <row r="99" spans="1:2" x14ac:dyDescent="0.2">
      <c r="A99" s="4">
        <v>46299</v>
      </c>
      <c r="B99" s="5" t="e">
        <v>#N/A</v>
      </c>
    </row>
    <row r="100" spans="1:2" x14ac:dyDescent="0.2">
      <c r="A100" s="4">
        <v>46300</v>
      </c>
      <c r="B100" s="5" t="e">
        <v>#N/A</v>
      </c>
    </row>
    <row r="101" spans="1:2" x14ac:dyDescent="0.2">
      <c r="A101" s="4">
        <v>46301</v>
      </c>
      <c r="B101" s="5" t="e">
        <v>#N/A</v>
      </c>
    </row>
    <row r="102" spans="1:2" x14ac:dyDescent="0.2">
      <c r="A102" s="4">
        <v>46302</v>
      </c>
      <c r="B102" s="5" t="e">
        <v>#N/A</v>
      </c>
    </row>
    <row r="103" spans="1:2" x14ac:dyDescent="0.2">
      <c r="A103" s="4">
        <v>46303</v>
      </c>
      <c r="B103" s="5" t="e">
        <v>#N/A</v>
      </c>
    </row>
    <row r="104" spans="1:2" x14ac:dyDescent="0.2">
      <c r="A104" s="4">
        <v>46304</v>
      </c>
      <c r="B104" s="5" t="e">
        <v>#N/A</v>
      </c>
    </row>
    <row r="105" spans="1:2" x14ac:dyDescent="0.2">
      <c r="A105" s="4">
        <v>46305</v>
      </c>
      <c r="B105" s="5" t="e">
        <v>#N/A</v>
      </c>
    </row>
    <row r="106" spans="1:2" x14ac:dyDescent="0.2">
      <c r="A106" s="4">
        <v>46306</v>
      </c>
      <c r="B106" s="5" t="e">
        <v>#N/A</v>
      </c>
    </row>
    <row r="107" spans="1:2" x14ac:dyDescent="0.2">
      <c r="A107" s="4">
        <v>46307</v>
      </c>
      <c r="B107" s="5" t="e">
        <v>#N/A</v>
      </c>
    </row>
    <row r="108" spans="1:2" x14ac:dyDescent="0.2">
      <c r="A108" s="4">
        <v>46308</v>
      </c>
      <c r="B108" s="5" t="e">
        <v>#N/A</v>
      </c>
    </row>
    <row r="109" spans="1:2" x14ac:dyDescent="0.2">
      <c r="A109" s="4">
        <v>46309</v>
      </c>
      <c r="B109" s="5" t="e">
        <v>#N/A</v>
      </c>
    </row>
    <row r="110" spans="1:2" x14ac:dyDescent="0.2">
      <c r="A110" s="4">
        <v>46310</v>
      </c>
      <c r="B110" s="5" t="e">
        <v>#N/A</v>
      </c>
    </row>
    <row r="111" spans="1:2" x14ac:dyDescent="0.2">
      <c r="A111" s="4">
        <v>46311</v>
      </c>
      <c r="B111" s="5" t="e">
        <v>#N/A</v>
      </c>
    </row>
    <row r="112" spans="1:2" x14ac:dyDescent="0.2">
      <c r="A112" s="4">
        <v>46312</v>
      </c>
      <c r="B112" s="5" t="e">
        <v>#N/A</v>
      </c>
    </row>
    <row r="113" spans="1:2" x14ac:dyDescent="0.2">
      <c r="A113" s="4">
        <v>46313</v>
      </c>
      <c r="B113" s="5" t="e">
        <v>#N/A</v>
      </c>
    </row>
    <row r="114" spans="1:2" x14ac:dyDescent="0.2">
      <c r="A114" s="4">
        <v>46314</v>
      </c>
      <c r="B114" s="5" t="e">
        <v>#N/A</v>
      </c>
    </row>
    <row r="115" spans="1:2" x14ac:dyDescent="0.2">
      <c r="A115" s="4">
        <v>46315</v>
      </c>
      <c r="B115" s="5" t="e">
        <v>#N/A</v>
      </c>
    </row>
    <row r="116" spans="1:2" x14ac:dyDescent="0.2">
      <c r="A116" s="4">
        <v>46316</v>
      </c>
      <c r="B116" s="5" t="e">
        <v>#N/A</v>
      </c>
    </row>
    <row r="117" spans="1:2" x14ac:dyDescent="0.2">
      <c r="A117" s="4">
        <v>46317</v>
      </c>
      <c r="B117" s="5" t="e">
        <v>#N/A</v>
      </c>
    </row>
    <row r="118" spans="1:2" x14ac:dyDescent="0.2">
      <c r="A118" s="4">
        <v>46318</v>
      </c>
      <c r="B118" s="5" t="e">
        <v>#N/A</v>
      </c>
    </row>
    <row r="119" spans="1:2" x14ac:dyDescent="0.2">
      <c r="A119" s="4">
        <v>46319</v>
      </c>
      <c r="B119" s="5" t="e">
        <v>#N/A</v>
      </c>
    </row>
    <row r="120" spans="1:2" x14ac:dyDescent="0.2">
      <c r="A120" s="4">
        <v>46320</v>
      </c>
      <c r="B120" s="5" t="e">
        <v>#N/A</v>
      </c>
    </row>
    <row r="121" spans="1:2" x14ac:dyDescent="0.2">
      <c r="A121" s="4">
        <v>46321</v>
      </c>
      <c r="B121" s="5" t="e">
        <v>#N/A</v>
      </c>
    </row>
    <row r="122" spans="1:2" x14ac:dyDescent="0.2">
      <c r="A122" s="4">
        <v>46322</v>
      </c>
      <c r="B122" s="5" t="e">
        <v>#N/A</v>
      </c>
    </row>
    <row r="123" spans="1:2" x14ac:dyDescent="0.2">
      <c r="A123" s="4">
        <v>46323</v>
      </c>
      <c r="B123" s="5" t="e">
        <v>#N/A</v>
      </c>
    </row>
    <row r="124" spans="1:2" x14ac:dyDescent="0.2">
      <c r="A124" s="4">
        <v>46324</v>
      </c>
      <c r="B124" s="5" t="e">
        <v>#N/A</v>
      </c>
    </row>
    <row r="125" spans="1:2" x14ac:dyDescent="0.2">
      <c r="A125" s="4">
        <v>46325</v>
      </c>
      <c r="B125" s="5" t="e">
        <v>#N/A</v>
      </c>
    </row>
    <row r="126" spans="1:2" x14ac:dyDescent="0.2">
      <c r="A126" s="4">
        <v>46326</v>
      </c>
      <c r="B126" s="5" t="e">
        <v>#N/A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Day tracker</vt:lpstr>
      <vt:lpstr>Week Tracker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Haremza</dc:creator>
  <dcterms:created xsi:type="dcterms:W3CDTF">2026-06-29T17:52:32Z</dcterms:created>
</cp:coreProperties>
</file>